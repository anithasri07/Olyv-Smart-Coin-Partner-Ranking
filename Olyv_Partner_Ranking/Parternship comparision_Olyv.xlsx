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ISBR Projects\Consulting\Olyv_Partner_Ranking\"/>
    </mc:Choice>
  </mc:AlternateContent>
  <xr:revisionPtr revIDLastSave="0" documentId="13_ncr:1_{C5261888-3F1C-4997-98D9-5C43CF444B7E}" xr6:coauthVersionLast="47" xr6:coauthVersionMax="47" xr10:uidLastSave="{00000000-0000-0000-0000-000000000000}"/>
  <bookViews>
    <workbookView xWindow="-120" yWindow="-120" windowWidth="29040" windowHeight="16440" xr2:uid="{0B894FDB-009C-428D-B926-325AB3BD7946}"/>
  </bookViews>
  <sheets>
    <sheet name="Final_Partner_Rank" sheetId="5" r:id="rId1"/>
    <sheet name="Visuals" sheetId="3" r:id="rId2"/>
    <sheet name="Normalized Data" sheetId="4" r:id="rId3"/>
    <sheet name="Data" sheetId="1" r:id="rId4"/>
    <sheet name="QoQ%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4" l="1"/>
  <c r="F5" i="4"/>
  <c r="F6" i="4"/>
  <c r="F7" i="4"/>
  <c r="F8" i="4"/>
  <c r="F9" i="4"/>
  <c r="F10" i="4"/>
  <c r="F11" i="4"/>
  <c r="F12" i="4"/>
  <c r="F13" i="4"/>
  <c r="F3" i="4"/>
  <c r="F21" i="1"/>
  <c r="B21" i="1"/>
  <c r="C21" i="1"/>
  <c r="D21" i="1"/>
  <c r="E21" i="1"/>
  <c r="G21" i="1"/>
  <c r="H21" i="1" a="1"/>
  <c r="H21" i="1" s="1"/>
  <c r="B22" i="1"/>
  <c r="C22" i="1"/>
  <c r="D22" i="1"/>
  <c r="E22" i="1"/>
  <c r="G22" i="1"/>
  <c r="H22" i="1" a="1"/>
  <c r="H22" i="1" s="1"/>
  <c r="B23" i="1"/>
  <c r="C23" i="1"/>
  <c r="D23" i="1"/>
  <c r="E23" i="1"/>
  <c r="G23" i="1"/>
  <c r="H23" i="1" a="1"/>
  <c r="H23" i="1" s="1"/>
  <c r="B24" i="1"/>
  <c r="C24" i="1"/>
  <c r="D24" i="1"/>
  <c r="E24" i="1"/>
  <c r="G24" i="1"/>
  <c r="H24" i="1" a="1"/>
  <c r="H24" i="1" s="1"/>
  <c r="B25" i="1"/>
  <c r="C25" i="1"/>
  <c r="D25" i="1"/>
  <c r="E25" i="1"/>
  <c r="G25" i="1"/>
  <c r="H25" i="1" a="1"/>
  <c r="H25" i="1" s="1"/>
  <c r="B26" i="1"/>
  <c r="C26" i="1"/>
  <c r="D26" i="1"/>
  <c r="E26" i="1"/>
  <c r="G26" i="1"/>
  <c r="H26" i="1" a="1"/>
  <c r="H26" i="1" s="1"/>
  <c r="B27" i="1"/>
  <c r="C27" i="1"/>
  <c r="D27" i="1"/>
  <c r="E27" i="1"/>
  <c r="G27" i="1"/>
  <c r="H27" i="1" a="1"/>
  <c r="H27" i="1" s="1"/>
  <c r="B28" i="1"/>
  <c r="C28" i="1"/>
  <c r="D28" i="1"/>
  <c r="E28" i="1"/>
  <c r="G28" i="1"/>
  <c r="H28" i="1" a="1"/>
  <c r="H28" i="1" s="1"/>
  <c r="B29" i="1"/>
  <c r="I29" i="1" s="1"/>
  <c r="C29" i="1"/>
  <c r="D29" i="1"/>
  <c r="E29" i="1"/>
  <c r="G29" i="1"/>
  <c r="H29" i="1" a="1"/>
  <c r="H29" i="1" s="1"/>
  <c r="B30" i="1"/>
  <c r="C30" i="1"/>
  <c r="D30" i="1"/>
  <c r="E30" i="1"/>
  <c r="G30" i="1"/>
  <c r="H30" i="1" a="1"/>
  <c r="H30" i="1" s="1"/>
  <c r="B31" i="1"/>
  <c r="C31" i="1"/>
  <c r="D31" i="1"/>
  <c r="E31" i="1"/>
  <c r="G31" i="1"/>
  <c r="H31" i="1" a="1"/>
  <c r="H31" i="1" s="1"/>
  <c r="J27" i="4"/>
  <c r="J2" i="1"/>
  <c r="J4" i="1"/>
  <c r="J5" i="1"/>
  <c r="J6" i="1"/>
  <c r="J7" i="1"/>
  <c r="J8" i="1"/>
  <c r="J9" i="1"/>
  <c r="J10" i="1"/>
  <c r="J11" i="1"/>
  <c r="J12" i="1"/>
  <c r="D21" i="2"/>
  <c r="D15" i="2"/>
  <c r="C7" i="2"/>
  <c r="F5" i="2" s="1"/>
  <c r="B7" i="2"/>
  <c r="E5" i="2"/>
  <c r="E6" i="2"/>
  <c r="E4" i="2"/>
  <c r="E3" i="2"/>
  <c r="D5" i="2"/>
  <c r="D6" i="2"/>
  <c r="D4" i="2"/>
  <c r="I21" i="1" l="1"/>
  <c r="I23" i="1"/>
  <c r="I25" i="1"/>
  <c r="I31" i="1"/>
  <c r="I27" i="1"/>
  <c r="I30" i="1"/>
  <c r="I28" i="1"/>
  <c r="I24" i="1"/>
  <c r="I22" i="1"/>
  <c r="I26" i="1"/>
  <c r="J29" i="1" s="1"/>
  <c r="J31" i="1" l="1"/>
  <c r="J27" i="1"/>
  <c r="J24" i="1"/>
  <c r="J21" i="1"/>
  <c r="J22" i="1"/>
  <c r="J26" i="1"/>
  <c r="J25" i="1"/>
  <c r="J28" i="1"/>
  <c r="J23" i="1"/>
  <c r="J3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<sst xmlns="http://schemas.openxmlformats.org/spreadsheetml/2006/main" count="191" uniqueCount="56">
  <si>
    <t>NBFC Name</t>
  </si>
  <si>
    <t>Loan Disbursed (₹ Cr)</t>
  </si>
  <si>
    <t>Growth (%)</t>
  </si>
  <si>
    <t>Interest Rate (%)</t>
  </si>
  <si>
    <t>Processing Fees (%)</t>
  </si>
  <si>
    <t>Min Tenure (Months)</t>
  </si>
  <si>
    <t>Max Tenure (Months)</t>
  </si>
  <si>
    <t>NPA (%)</t>
  </si>
  <si>
    <t>Credit Rating</t>
  </si>
  <si>
    <t>Poonawalla Fincorp</t>
  </si>
  <si>
    <t>InCred Financial Services</t>
  </si>
  <si>
    <t>Vivriti Capital</t>
  </si>
  <si>
    <t>Northern Arc Capital</t>
  </si>
  <si>
    <t>L&amp;T Finance</t>
  </si>
  <si>
    <t>Aditya Birla Capital</t>
  </si>
  <si>
    <t>Muthoot Finance</t>
  </si>
  <si>
    <t>Tata Capital</t>
  </si>
  <si>
    <t>IIFL Finance</t>
  </si>
  <si>
    <t>Hero FinCorp</t>
  </si>
  <si>
    <t>Bajaj Finserv</t>
  </si>
  <si>
    <t>Quarter</t>
  </si>
  <si>
    <t>FY23 Disbursement (₹ Cr)</t>
  </si>
  <si>
    <t>FY24 Disbursement (₹ Cr)</t>
  </si>
  <si>
    <t>Q1</t>
  </si>
  <si>
    <t>Q2</t>
  </si>
  <si>
    <t>Q3</t>
  </si>
  <si>
    <t>Q4</t>
  </si>
  <si>
    <t>-</t>
  </si>
  <si>
    <t>QoQ Growth FY23(%)</t>
  </si>
  <si>
    <t>QoQ Growth FY24(%)</t>
  </si>
  <si>
    <t>YoY Growth %</t>
  </si>
  <si>
    <t>Annual</t>
  </si>
  <si>
    <t>AAA</t>
  </si>
  <si>
    <t xml:space="preserve">POONAWALLAH </t>
  </si>
  <si>
    <t>AA</t>
  </si>
  <si>
    <t>Write-off (Cr)</t>
  </si>
  <si>
    <t>A</t>
  </si>
  <si>
    <t>Aditya Birla</t>
  </si>
  <si>
    <t>Write-off%</t>
  </si>
  <si>
    <t>Parameter</t>
  </si>
  <si>
    <t>Weight (%)</t>
  </si>
  <si>
    <t>Explanation</t>
  </si>
  <si>
    <t>Write-off %</t>
  </si>
  <si>
    <t>Crredit Rating_num</t>
  </si>
  <si>
    <t>Normalized Data For Ranking</t>
  </si>
  <si>
    <t>Weighed Score</t>
  </si>
  <si>
    <t>Rank</t>
  </si>
  <si>
    <t>Higher is better.</t>
  </si>
  <si>
    <t>Lower is better.</t>
  </si>
  <si>
    <t>Higher (AAA) is better.</t>
  </si>
  <si>
    <t>Existing Partners</t>
  </si>
  <si>
    <t>Potential New Partners</t>
  </si>
  <si>
    <t>LEGEND</t>
  </si>
  <si>
    <t>NBFC Partner Ranking</t>
  </si>
  <si>
    <t>Credit Rating_num</t>
  </si>
  <si>
    <t xml:space="preserve">Weighted Score= (Loan Disbursed×0.3) + (Growth×0.15) + (Interest Rate×0.15) + (Processing Fee×0.08) + (NPA×0.2) + (Write-off Amount×0.1) + (Credit Rating Score×0.1)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</si>
</sst>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b/>
      <sz val="16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0" xfId="0" applyFont="1"/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7" fillId="8" borderId="8" xfId="0" applyFont="1" applyFill="1" applyBorder="1" applyAlignment="1">
      <alignment horizontal="center" vertical="center"/>
    </xf>
    <xf numFmtId="0" fontId="8" fillId="7" borderId="1" xfId="0" applyFont="1" applyFill="1" applyBorder="1"/>
    <xf numFmtId="0" fontId="6" fillId="0" borderId="1" xfId="0" applyFont="1" applyBorder="1" applyAlignment="1">
      <alignment vertical="center"/>
    </xf>
    <xf numFmtId="0" fontId="8" fillId="6" borderId="1" xfId="0" applyFont="1" applyFill="1" applyBorder="1"/>
    <xf numFmtId="0" fontId="9" fillId="2" borderId="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vertical="center" wrapText="1"/>
    </xf>
    <xf numFmtId="3" fontId="10" fillId="0" borderId="1" xfId="0" applyNumberFormat="1" applyFont="1" applyBorder="1"/>
    <xf numFmtId="0" fontId="10" fillId="0" borderId="1" xfId="0" applyFont="1" applyBorder="1"/>
    <xf numFmtId="0" fontId="10" fillId="0" borderId="1" xfId="0" applyNumberFormat="1" applyFont="1" applyBorder="1"/>
    <xf numFmtId="9" fontId="10" fillId="0" borderId="1" xfId="0" applyNumberFormat="1" applyFont="1" applyBorder="1"/>
    <xf numFmtId="10" fontId="10" fillId="0" borderId="1" xfId="0" applyNumberFormat="1" applyFont="1" applyBorder="1"/>
    <xf numFmtId="0" fontId="10" fillId="0" borderId="9" xfId="0" applyFont="1" applyBorder="1"/>
    <xf numFmtId="3" fontId="10" fillId="0" borderId="1" xfId="0" applyNumberFormat="1" applyFont="1" applyBorder="1" applyAlignment="1">
      <alignment horizontal="right" vertical="center"/>
    </xf>
    <xf numFmtId="2" fontId="10" fillId="0" borderId="1" xfId="0" applyNumberFormat="1" applyFont="1" applyBorder="1"/>
    <xf numFmtId="4" fontId="10" fillId="0" borderId="1" xfId="0" applyNumberFormat="1" applyFont="1" applyBorder="1"/>
    <xf numFmtId="9" fontId="10" fillId="0" borderId="1" xfId="1" applyFont="1" applyBorder="1"/>
    <xf numFmtId="0" fontId="10" fillId="0" borderId="6" xfId="0" applyFont="1" applyBorder="1" applyAlignment="1">
      <alignment vertical="center" wrapText="1"/>
    </xf>
    <xf numFmtId="3" fontId="10" fillId="0" borderId="10" xfId="0" applyNumberFormat="1" applyFont="1" applyBorder="1"/>
    <xf numFmtId="0" fontId="10" fillId="0" borderId="10" xfId="0" applyFont="1" applyBorder="1"/>
    <xf numFmtId="10" fontId="10" fillId="0" borderId="10" xfId="0" applyNumberFormat="1" applyFont="1" applyBorder="1"/>
    <xf numFmtId="0" fontId="10" fillId="0" borderId="5" xfId="0" applyFont="1" applyBorder="1"/>
    <xf numFmtId="0" fontId="4" fillId="0" borderId="0" xfId="0" applyFont="1" applyAlignment="1">
      <alignment horizontal="left" vertical="center" indent="1"/>
    </xf>
    <xf numFmtId="0" fontId="11" fillId="4" borderId="4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4" fillId="5" borderId="9" xfId="0" applyFont="1" applyFill="1" applyBorder="1"/>
    <xf numFmtId="0" fontId="4" fillId="6" borderId="8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/>
    <xf numFmtId="0" fontId="4" fillId="6" borderId="9" xfId="0" applyFont="1" applyFill="1" applyBorder="1"/>
    <xf numFmtId="0" fontId="4" fillId="6" borderId="6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0" xfId="0" applyFont="1" applyFill="1" applyBorder="1"/>
    <xf numFmtId="0" fontId="4" fillId="6" borderId="5" xfId="0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0" fontId="4" fillId="0" borderId="1" xfId="0" applyNumberFormat="1" applyFont="1" applyBorder="1"/>
    <xf numFmtId="0" fontId="12" fillId="0" borderId="1" xfId="0" applyFont="1" applyBorder="1" applyAlignment="1">
      <alignment vertical="center" wrapText="1"/>
    </xf>
    <xf numFmtId="3" fontId="12" fillId="0" borderId="1" xfId="0" applyNumberFormat="1" applyFont="1" applyBorder="1" applyAlignment="1">
      <alignment vertical="center" wrapText="1"/>
    </xf>
    <xf numFmtId="10" fontId="12" fillId="0" borderId="1" xfId="0" applyNumberFormat="1" applyFont="1" applyBorder="1" applyAlignment="1">
      <alignment vertical="center" wrapText="1"/>
    </xf>
    <xf numFmtId="10" fontId="13" fillId="3" borderId="0" xfId="0" applyNumberFormat="1" applyFont="1" applyFill="1" applyAlignment="1">
      <alignment horizontal="center" vertical="center"/>
    </xf>
    <xf numFmtId="10" fontId="14" fillId="3" borderId="0" xfId="0" applyNumberFormat="1" applyFont="1" applyFill="1" applyAlignment="1">
      <alignment horizontal="center" vertical="center"/>
    </xf>
    <xf numFmtId="3" fontId="12" fillId="0" borderId="1" xfId="0" applyNumberFormat="1" applyFont="1" applyBorder="1"/>
    <xf numFmtId="0" fontId="12" fillId="0" borderId="1" xfId="0" applyFont="1" applyBorder="1"/>
    <xf numFmtId="0" fontId="15" fillId="4" borderId="1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10" fontId="13" fillId="3" borderId="1" xfId="0" applyNumberFormat="1" applyFont="1" applyFill="1" applyBorder="1" applyAlignment="1">
      <alignment horizontal="center" vertical="center"/>
    </xf>
    <xf numFmtId="4" fontId="4" fillId="0" borderId="1" xfId="0" applyNumberFormat="1" applyFont="1" applyBorder="1"/>
    <xf numFmtId="0" fontId="6" fillId="5" borderId="8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5" xfId="0" applyFont="1" applyFill="1" applyBorder="1"/>
    <xf numFmtId="0" fontId="4" fillId="5" borderId="10" xfId="0" applyFont="1" applyFill="1" applyBorder="1"/>
    <xf numFmtId="0" fontId="4" fillId="6" borderId="5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10" fontId="4" fillId="0" borderId="0" xfId="0" applyNumberFormat="1" applyFont="1"/>
    <xf numFmtId="0" fontId="7" fillId="2" borderId="0" xfId="0" applyFont="1" applyFill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40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Times New Roman"/>
        <family val="1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Times New Roman"/>
        <family val="1"/>
        <scheme val="none"/>
      </font>
      <numFmt numFmtId="14" formatCode="0.00%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4" formatCode="0.00%"/>
      <fill>
        <patternFill patternType="solid">
          <fgColor indexed="64"/>
          <bgColor theme="7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14" formatCode="0.00%"/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3" formatCode="#,##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numFmt numFmtId="3" formatCode="#,##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4" formatCode="0.0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3" formatCode="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Loan Disbursed (₹ Cr)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Data!$A$2:$A$12</c:f>
              <c:strCache>
                <c:ptCount val="11"/>
                <c:pt idx="0">
                  <c:v>Poonawalla Fincorp</c:v>
                </c:pt>
                <c:pt idx="1">
                  <c:v>InCred Financial Services</c:v>
                </c:pt>
                <c:pt idx="2">
                  <c:v>Vivriti Capital</c:v>
                </c:pt>
                <c:pt idx="3">
                  <c:v>Northern Arc Capital</c:v>
                </c:pt>
                <c:pt idx="4">
                  <c:v>L&amp;T Finance</c:v>
                </c:pt>
                <c:pt idx="5">
                  <c:v>Aditya Birla Capital</c:v>
                </c:pt>
                <c:pt idx="6">
                  <c:v>Muthoot Finance</c:v>
                </c:pt>
                <c:pt idx="7">
                  <c:v>Tata Capital</c:v>
                </c:pt>
                <c:pt idx="8">
                  <c:v>IIFL Finance</c:v>
                </c:pt>
                <c:pt idx="9">
                  <c:v>Hero FinCorp</c:v>
                </c:pt>
                <c:pt idx="10">
                  <c:v>Bajaj Finserv</c:v>
                </c:pt>
              </c:strCache>
            </c:strRef>
          </c:cat>
          <c:val>
            <c:numRef>
              <c:f>Data!$B$2:$B$12</c:f>
              <c:numCache>
                <c:formatCode>#,##0</c:formatCode>
                <c:ptCount val="11"/>
                <c:pt idx="0">
                  <c:v>33276</c:v>
                </c:pt>
                <c:pt idx="1">
                  <c:v>9298</c:v>
                </c:pt>
                <c:pt idx="2" formatCode="#,##0.00">
                  <c:v>6699.84</c:v>
                </c:pt>
                <c:pt idx="3">
                  <c:v>1750</c:v>
                </c:pt>
                <c:pt idx="4">
                  <c:v>15210</c:v>
                </c:pt>
                <c:pt idx="5">
                  <c:v>64387</c:v>
                </c:pt>
                <c:pt idx="6">
                  <c:v>5795</c:v>
                </c:pt>
                <c:pt idx="7">
                  <c:v>62289</c:v>
                </c:pt>
                <c:pt idx="8">
                  <c:v>19410</c:v>
                </c:pt>
                <c:pt idx="9">
                  <c:v>46488</c:v>
                </c:pt>
                <c:pt idx="10">
                  <c:v>83236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9-4143-A46C-A8F650DEBAC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0"/>
        <c:axId val="537640808"/>
        <c:axId val="537651248"/>
      </c:barChart>
      <c:catAx>
        <c:axId val="537640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651248"/>
        <c:crosses val="autoZero"/>
        <c:auto val="1"/>
        <c:lblAlgn val="ctr"/>
        <c:lblOffset val="100"/>
        <c:noMultiLvlLbl val="0"/>
      </c:catAx>
      <c:valAx>
        <c:axId val="537651248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537640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Growth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Data!$A$2:$A$12</c:f>
              <c:strCache>
                <c:ptCount val="11"/>
                <c:pt idx="0">
                  <c:v>Poonawalla Fincorp</c:v>
                </c:pt>
                <c:pt idx="1">
                  <c:v>InCred Financial Services</c:v>
                </c:pt>
                <c:pt idx="2">
                  <c:v>Vivriti Capital</c:v>
                </c:pt>
                <c:pt idx="3">
                  <c:v>Northern Arc Capital</c:v>
                </c:pt>
                <c:pt idx="4">
                  <c:v>L&amp;T Finance</c:v>
                </c:pt>
                <c:pt idx="5">
                  <c:v>Aditya Birla Capital</c:v>
                </c:pt>
                <c:pt idx="6">
                  <c:v>Muthoot Finance</c:v>
                </c:pt>
                <c:pt idx="7">
                  <c:v>Tata Capital</c:v>
                </c:pt>
                <c:pt idx="8">
                  <c:v>IIFL Finance</c:v>
                </c:pt>
                <c:pt idx="9">
                  <c:v>Hero FinCorp</c:v>
                </c:pt>
                <c:pt idx="10">
                  <c:v>Bajaj Finserv</c:v>
                </c:pt>
              </c:strCache>
            </c:strRef>
          </c:cat>
          <c:val>
            <c:numRef>
              <c:f>Data!$C$2:$C$12</c:f>
              <c:numCache>
                <c:formatCode>General</c:formatCode>
                <c:ptCount val="11"/>
                <c:pt idx="0">
                  <c:v>38.6</c:v>
                </c:pt>
                <c:pt idx="1">
                  <c:v>48</c:v>
                </c:pt>
                <c:pt idx="2">
                  <c:v>28.6</c:v>
                </c:pt>
                <c:pt idx="3">
                  <c:v>13</c:v>
                </c:pt>
                <c:pt idx="4">
                  <c:v>15.9</c:v>
                </c:pt>
                <c:pt idx="5">
                  <c:v>39</c:v>
                </c:pt>
                <c:pt idx="6">
                  <c:v>22</c:v>
                </c:pt>
                <c:pt idx="7">
                  <c:v>35</c:v>
                </c:pt>
                <c:pt idx="8">
                  <c:v>28</c:v>
                </c:pt>
                <c:pt idx="9">
                  <c:v>22.98</c:v>
                </c:pt>
                <c:pt idx="10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62-4FD6-9223-6EAA7244F4B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37624608"/>
        <c:axId val="537622808"/>
      </c:lineChart>
      <c:catAx>
        <c:axId val="53762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622808"/>
        <c:crosses val="autoZero"/>
        <c:auto val="1"/>
        <c:lblAlgn val="ctr"/>
        <c:lblOffset val="100"/>
        <c:noMultiLvlLbl val="0"/>
      </c:catAx>
      <c:valAx>
        <c:axId val="5376228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3762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Interest Rate (%)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5.0661382181492035E-2"/>
                  <c:y val="-6.14924805708479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7DE-4BA0-B96E-411EC2F227D4}"/>
                </c:ext>
              </c:extLst>
            </c:dLbl>
            <c:dLbl>
              <c:idx val="3"/>
              <c:layout>
                <c:manualLayout>
                  <c:x val="-4.5408355060147738E-2"/>
                  <c:y val="-6.92100395528553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DE-4BA0-B96E-411EC2F227D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DE-4BA0-B96E-411EC2F227D4}"/>
                </c:ext>
              </c:extLst>
            </c:dLbl>
            <c:dLbl>
              <c:idx val="7"/>
              <c:layout>
                <c:manualLayout>
                  <c:x val="-7.3113836813044342E-2"/>
                  <c:y val="-9.0913663647197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7DE-4BA0-B96E-411EC2F227D4}"/>
                </c:ext>
              </c:extLst>
            </c:dLbl>
            <c:dLbl>
              <c:idx val="8"/>
              <c:layout>
                <c:manualLayout>
                  <c:x val="-6.7194050989762152E-2"/>
                  <c:y val="-9.7068702066837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7DE-4BA0-B96E-411EC2F227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Data!$B$2:$B$12</c:f>
              <c:numCache>
                <c:formatCode>#,##0</c:formatCode>
                <c:ptCount val="11"/>
                <c:pt idx="0">
                  <c:v>33276</c:v>
                </c:pt>
                <c:pt idx="1">
                  <c:v>9298</c:v>
                </c:pt>
                <c:pt idx="2" formatCode="#,##0.00">
                  <c:v>6699.84</c:v>
                </c:pt>
                <c:pt idx="3">
                  <c:v>1750</c:v>
                </c:pt>
                <c:pt idx="4">
                  <c:v>15210</c:v>
                </c:pt>
                <c:pt idx="5">
                  <c:v>64387</c:v>
                </c:pt>
                <c:pt idx="6">
                  <c:v>5795</c:v>
                </c:pt>
                <c:pt idx="7">
                  <c:v>62289</c:v>
                </c:pt>
                <c:pt idx="8">
                  <c:v>19410</c:v>
                </c:pt>
                <c:pt idx="9">
                  <c:v>46488</c:v>
                </c:pt>
                <c:pt idx="10">
                  <c:v>83236</c:v>
                </c:pt>
              </c:numCache>
            </c:numRef>
          </c:xVal>
          <c:yVal>
            <c:numRef>
              <c:f>Data!$D$2:$D$12</c:f>
              <c:numCache>
                <c:formatCode>General</c:formatCode>
                <c:ptCount val="11"/>
                <c:pt idx="0">
                  <c:v>9.99</c:v>
                </c:pt>
                <c:pt idx="1">
                  <c:v>13.99</c:v>
                </c:pt>
                <c:pt idx="2">
                  <c:v>13</c:v>
                </c:pt>
                <c:pt idx="3">
                  <c:v>16.8</c:v>
                </c:pt>
                <c:pt idx="4">
                  <c:v>9.5</c:v>
                </c:pt>
                <c:pt idx="5">
                  <c:v>10.99</c:v>
                </c:pt>
                <c:pt idx="6">
                  <c:v>13</c:v>
                </c:pt>
                <c:pt idx="7">
                  <c:v>11.99</c:v>
                </c:pt>
                <c:pt idx="8">
                  <c:v>12.75</c:v>
                </c:pt>
                <c:pt idx="9">
                  <c:v>11.25</c:v>
                </c:pt>
                <c:pt idx="10">
                  <c:v>11</c:v>
                </c:pt>
              </c:numCache>
            </c:numRef>
          </c:yVal>
          <c:bubbleSize>
            <c:numRef>
              <c:f>Data!$H$2:$H$12</c:f>
              <c:numCache>
                <c:formatCode>0.00%</c:formatCode>
                <c:ptCount val="11"/>
                <c:pt idx="0">
                  <c:v>1.1599999999999999E-2</c:v>
                </c:pt>
                <c:pt idx="1">
                  <c:v>2.9000000000000001E-2</c:v>
                </c:pt>
                <c:pt idx="2" formatCode="General">
                  <c:v>1.7</c:v>
                </c:pt>
                <c:pt idx="3" formatCode="General">
                  <c:v>0.6</c:v>
                </c:pt>
                <c:pt idx="4" formatCode="General">
                  <c:v>0.96</c:v>
                </c:pt>
                <c:pt idx="5" formatCode="General">
                  <c:v>3.12</c:v>
                </c:pt>
                <c:pt idx="6" formatCode="General">
                  <c:v>2.9</c:v>
                </c:pt>
                <c:pt idx="7" formatCode="General">
                  <c:v>1.5</c:v>
                </c:pt>
                <c:pt idx="8" formatCode="General">
                  <c:v>2.2999999999999998</c:v>
                </c:pt>
                <c:pt idx="9" formatCode="#,##0.00">
                  <c:v>2.98</c:v>
                </c:pt>
                <c:pt idx="10" formatCode="General">
                  <c:v>1.1200000000000001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5-27DE-4BA0-B96E-411EC2F227D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597184784"/>
        <c:axId val="597179384"/>
      </c:bubbleChart>
      <c:valAx>
        <c:axId val="597184784"/>
        <c:scaling>
          <c:orientation val="minMax"/>
          <c:min val="0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179384"/>
        <c:crosses val="autoZero"/>
        <c:crossBetween val="midCat"/>
      </c:valAx>
      <c:valAx>
        <c:axId val="597179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184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609598</xdr:colOff>
      <xdr:row>4</xdr:row>
      <xdr:rowOff>0</xdr:rowOff>
    </xdr:from>
    <xdr:to>
      <xdr:col>11</xdr:col>
      <xdr:colOff>152399</xdr:colOff>
      <xdr:row>23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3DB0DF-4634-4979-995B-8B1CB21BDC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514350</xdr:colOff>
      <xdr:row>5</xdr:row>
      <xdr:rowOff>95250</xdr:rowOff>
    </xdr:from>
    <xdr:to>
      <xdr:col>21</xdr:col>
      <xdr:colOff>581025</xdr:colOff>
      <xdr:row>19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AADEC6-ED78-4C2A-A69F-9ACC15B21C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66675</xdr:colOff>
      <xdr:row>24</xdr:row>
      <xdr:rowOff>47625</xdr:rowOff>
    </xdr:from>
    <xdr:to>
      <xdr:col>15</xdr:col>
      <xdr:colOff>280988</xdr:colOff>
      <xdr:row>42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133DE7A-80C2-45B3-AFFB-174B039DC0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BCA31B1-8259-4FB4-BE80-FC5F5724B3D4}" name="Table11" displayName="Table11" ref="A2:J13" totalsRowShown="0" headerRowDxfId="0" dataDxfId="1" headerRowBorderDxfId="13" tableBorderDxfId="14" totalsRowBorderDxfId="12">
  <autoFilter ref="A2:J13" xr:uid="{2BCA31B1-8259-4FB4-BE80-FC5F5724B3D4}"/>
  <sortState xmlns:xlrd2="http://schemas.microsoft.com/office/spreadsheetml/2017/richdata2" ref="A3:J13">
    <sortCondition ref="J2:J13"/>
  </sortState>
  <tableColumns count="10">
    <tableColumn id="1" xr3:uid="{4393E2D2-1D4E-48BD-8E60-1877836BB3A6}" name="NBFC Name" dataDxfId="11"/>
    <tableColumn id="2" xr3:uid="{3D03C638-D6F0-4362-B1E4-45B068B44311}" name="Loan Disbursed (₹ Cr)" dataDxfId="10"/>
    <tableColumn id="3" xr3:uid="{10EF233B-23BB-4439-B452-CF6F60151EFA}" name="Growth (%)" dataDxfId="9"/>
    <tableColumn id="4" xr3:uid="{69BC1E6E-07D4-49B2-BDCD-760D480E81D3}" name="Interest Rate (%)" dataDxfId="8"/>
    <tableColumn id="5" xr3:uid="{9A57A255-B956-4859-BB7C-DB9BEBA1B477}" name="Processing Fees (%)" dataDxfId="7"/>
    <tableColumn id="6" xr3:uid="{72B7D821-C41B-4132-956F-37354D9718C4}" name="NPA (%)" dataDxfId="6"/>
    <tableColumn id="7" xr3:uid="{D1C8FE8E-A7A9-4868-84F5-E34DE1BFD727}" name="Write-off (Cr)" dataDxfId="5"/>
    <tableColumn id="8" xr3:uid="{DBE46E98-C592-45B9-B8ED-DD570A1654D7}" name="Credit Rating_num" dataDxfId="4"/>
    <tableColumn id="9" xr3:uid="{372BEAC0-EA1B-4B1A-8E7B-C80DB781FFA3}" name="Weighed Score" dataDxfId="3"/>
    <tableColumn id="10" xr3:uid="{BA729269-3636-414C-BB28-FC510E86693F}" name="Rank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677330-4B29-4F47-BB8E-902934E12660}" name="Table2" displayName="Table2" ref="A1:K12" totalsRowShown="0" headerRowDxfId="24" dataDxfId="23" headerRowBorderDxfId="36" tableBorderDxfId="37">
  <autoFilter ref="A1:K12" xr:uid="{2E677330-4B29-4F47-BB8E-902934E12660}"/>
  <tableColumns count="11">
    <tableColumn id="1" xr3:uid="{F9154363-7749-4C00-8A00-57CEA10ACC2D}" name="NBFC Name" dataDxfId="35"/>
    <tableColumn id="2" xr3:uid="{1139A33D-340D-4F11-9B69-849E99951024}" name="Loan Disbursed (₹ Cr)" dataDxfId="34"/>
    <tableColumn id="3" xr3:uid="{1B9D3564-5D4E-4BE8-BC7B-446AC4DB7F6C}" name="Growth (%)" dataDxfId="33"/>
    <tableColumn id="4" xr3:uid="{89BEE11E-0A0F-4379-940A-7615A393CCF8}" name="Interest Rate (%)" dataDxfId="32"/>
    <tableColumn id="5" xr3:uid="{85A576B4-78E8-47F0-A5BF-260E3F516660}" name="Processing Fees (%)" dataDxfId="31"/>
    <tableColumn id="6" xr3:uid="{5EA28B98-3411-406C-A03B-0865674482CA}" name="Min Tenure (Months)" dataDxfId="30"/>
    <tableColumn id="7" xr3:uid="{B3C08189-BD3C-4D2D-A922-2D2533966B9F}" name="Max Tenure (Months)" dataDxfId="29"/>
    <tableColumn id="8" xr3:uid="{B2448B68-FFBA-4C72-98AF-2D561182433D}" name="NPA (%)" dataDxfId="28"/>
    <tableColumn id="9" xr3:uid="{55AABCD7-A43E-423B-A480-03BA5F13F6A2}" name="Write-off (Cr)" dataDxfId="27"/>
    <tableColumn id="10" xr3:uid="{4B40D778-B124-4DD3-BBB5-C565716EAB66}" name="Write-off%" dataDxfId="26">
      <calculatedColumnFormula>I2/B2</calculatedColumnFormula>
    </tableColumn>
    <tableColumn id="11" xr3:uid="{7835367E-FEB2-432A-80F3-7FCCB8DD7D41}" name="Credit Rating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169519-A29E-4C2E-83B7-5BFF19843142}" name="Table1" displayName="Table1" ref="A2:F7" totalsRowShown="0" headerRowDxfId="16" dataDxfId="15" headerRowBorderDxfId="39" tableBorderDxfId="38">
  <autoFilter ref="A2:F7" xr:uid="{AF169519-A29E-4C2E-83B7-5BFF19843142}"/>
  <tableColumns count="6">
    <tableColumn id="1" xr3:uid="{68E335E7-75FB-43C0-B885-9F0CACD608FC}" name="Quarter" dataDxfId="22"/>
    <tableColumn id="2" xr3:uid="{56A7FC92-F3C5-43BD-A653-29A69AEBA7A3}" name="FY23 Disbursement (₹ Cr)" dataDxfId="21"/>
    <tableColumn id="3" xr3:uid="{A75777FE-2EC8-44F8-AB03-91CA2238AD48}" name="FY24 Disbursement (₹ Cr)" dataDxfId="20"/>
    <tableColumn id="4" xr3:uid="{F98C1566-C5F5-4388-9EC1-CC75FBCCBDD0}" name="QoQ Growth FY23(%)" dataDxfId="19"/>
    <tableColumn id="5" xr3:uid="{4DE8AE26-88C2-432C-8A9C-B7EB836C82D6}" name="QoQ Growth FY24(%)" dataDxfId="18"/>
    <tableColumn id="6" xr3:uid="{61F69315-EAAA-486D-904F-A66FC86E3437}" name="YoY Growth %" dataDxfId="1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FC624-5581-4A40-ABBB-BBA022C88F20}">
  <sheetPr>
    <tabColor rgb="FF92D050"/>
  </sheetPr>
  <dimension ref="A1:T17"/>
  <sheetViews>
    <sheetView showGridLines="0" tabSelected="1" workbookViewId="0">
      <selection activeCell="F18" sqref="F18"/>
    </sheetView>
  </sheetViews>
  <sheetFormatPr defaultRowHeight="24" customHeight="1" x14ac:dyDescent="0.25"/>
  <cols>
    <col min="1" max="1" width="23.42578125" style="7" bestFit="1" customWidth="1"/>
    <col min="2" max="2" width="31.28515625" style="7" customWidth="1"/>
    <col min="3" max="3" width="26" style="7" bestFit="1" customWidth="1"/>
    <col min="4" max="4" width="25.28515625" style="7" customWidth="1"/>
    <col min="5" max="5" width="29.140625" style="7" customWidth="1"/>
    <col min="6" max="6" width="15" style="7" customWidth="1"/>
    <col min="7" max="7" width="20.85546875" style="7" customWidth="1"/>
    <col min="8" max="8" width="27.5703125" style="7" customWidth="1"/>
    <col min="9" max="9" width="22.28515625" style="7" customWidth="1"/>
    <col min="10" max="10" width="11.28515625" style="7" customWidth="1"/>
    <col min="11" max="17" width="9.140625" style="7"/>
    <col min="18" max="18" width="29.140625" style="7" bestFit="1" customWidth="1"/>
    <col min="19" max="19" width="25.28515625" style="7" bestFit="1" customWidth="1"/>
    <col min="20" max="20" width="12.7109375" style="7" bestFit="1" customWidth="1"/>
    <col min="21" max="16384" width="9.140625" style="7"/>
  </cols>
  <sheetData>
    <row r="1" spans="1:20" ht="35.25" customHeight="1" x14ac:dyDescent="0.25">
      <c r="A1" s="4" t="s">
        <v>53</v>
      </c>
      <c r="B1" s="5"/>
      <c r="C1" s="5"/>
      <c r="D1" s="5"/>
      <c r="E1" s="5"/>
      <c r="F1" s="5"/>
      <c r="G1" s="5"/>
      <c r="H1" s="5"/>
      <c r="I1" s="5"/>
      <c r="J1" s="6"/>
      <c r="R1" s="4" t="s">
        <v>53</v>
      </c>
      <c r="S1" s="5"/>
      <c r="T1" s="6"/>
    </row>
    <row r="2" spans="1:20" ht="30" customHeight="1" x14ac:dyDescent="0.25">
      <c r="A2" s="71" t="s">
        <v>0</v>
      </c>
      <c r="B2" s="72" t="s">
        <v>1</v>
      </c>
      <c r="C2" s="72" t="s">
        <v>2</v>
      </c>
      <c r="D2" s="72" t="s">
        <v>3</v>
      </c>
      <c r="E2" s="72" t="s">
        <v>4</v>
      </c>
      <c r="F2" s="72" t="s">
        <v>7</v>
      </c>
      <c r="G2" s="72" t="s">
        <v>35</v>
      </c>
      <c r="H2" s="72" t="s">
        <v>54</v>
      </c>
      <c r="I2" s="72" t="s">
        <v>45</v>
      </c>
      <c r="J2" s="73" t="s">
        <v>46</v>
      </c>
      <c r="R2" s="88" t="s">
        <v>0</v>
      </c>
      <c r="S2" s="88" t="s">
        <v>45</v>
      </c>
      <c r="T2" s="89" t="s">
        <v>46</v>
      </c>
    </row>
    <row r="3" spans="1:20" ht="24" customHeight="1" x14ac:dyDescent="0.25">
      <c r="A3" s="67" t="s">
        <v>14</v>
      </c>
      <c r="B3" s="8">
        <v>0.7686841911493999</v>
      </c>
      <c r="C3" s="8">
        <v>0.74285714285714288</v>
      </c>
      <c r="D3" s="8">
        <v>0.79589041095890412</v>
      </c>
      <c r="E3" s="8">
        <v>0.99851411589895989</v>
      </c>
      <c r="F3" s="8">
        <v>0</v>
      </c>
      <c r="G3" s="8">
        <v>0.57762210920257184</v>
      </c>
      <c r="H3" s="8">
        <v>10</v>
      </c>
      <c r="I3" s="8">
        <v>2.0047498087231639</v>
      </c>
      <c r="J3" s="69">
        <v>1</v>
      </c>
      <c r="R3" s="78" t="s">
        <v>14</v>
      </c>
      <c r="S3" s="78">
        <v>2.0047498087231639</v>
      </c>
      <c r="T3" s="77">
        <v>1</v>
      </c>
    </row>
    <row r="4" spans="1:20" ht="24" customHeight="1" x14ac:dyDescent="0.25">
      <c r="A4" s="68" t="s">
        <v>16</v>
      </c>
      <c r="B4" s="9">
        <v>0.74293743710576055</v>
      </c>
      <c r="C4" s="9">
        <v>0.62857142857142856</v>
      </c>
      <c r="D4" s="9">
        <v>0.65890410958904111</v>
      </c>
      <c r="E4" s="9">
        <v>0.99257057949479943</v>
      </c>
      <c r="F4" s="9">
        <v>0.52116844678934504</v>
      </c>
      <c r="G4" s="9">
        <v>0.85875875635735544</v>
      </c>
      <c r="H4" s="9">
        <v>10</v>
      </c>
      <c r="I4" s="9">
        <v>1.7493700887081589</v>
      </c>
      <c r="J4" s="70">
        <v>2</v>
      </c>
      <c r="R4" s="75" t="s">
        <v>16</v>
      </c>
      <c r="S4" s="75">
        <v>1.7493700887081589</v>
      </c>
      <c r="T4" s="74">
        <v>2</v>
      </c>
    </row>
    <row r="5" spans="1:20" ht="24" customHeight="1" x14ac:dyDescent="0.25">
      <c r="A5" s="68" t="s">
        <v>18</v>
      </c>
      <c r="B5" s="9">
        <v>0.54902682669415603</v>
      </c>
      <c r="C5" s="9">
        <v>0.28514285714285714</v>
      </c>
      <c r="D5" s="9">
        <v>0.76027397260273977</v>
      </c>
      <c r="E5" s="9">
        <v>0.99554234769687966</v>
      </c>
      <c r="F5" s="9">
        <v>4.5039248487968128E-2</v>
      </c>
      <c r="G5" s="9">
        <v>0.71185586795892919</v>
      </c>
      <c r="H5" s="9">
        <v>8</v>
      </c>
      <c r="I5" s="9">
        <v>1.6690899865689397</v>
      </c>
      <c r="J5" s="70">
        <v>3</v>
      </c>
      <c r="R5" s="75" t="s">
        <v>18</v>
      </c>
      <c r="S5" s="75">
        <v>1.6690899865689397</v>
      </c>
      <c r="T5" s="74">
        <v>3</v>
      </c>
    </row>
    <row r="6" spans="1:20" ht="24" customHeight="1" x14ac:dyDescent="0.25">
      <c r="A6" s="68" t="s">
        <v>19</v>
      </c>
      <c r="B6" s="9">
        <v>1</v>
      </c>
      <c r="C6" s="9">
        <v>0.42857142857142855</v>
      </c>
      <c r="D6" s="9">
        <v>0.79452054794520555</v>
      </c>
      <c r="E6" s="9">
        <v>0</v>
      </c>
      <c r="F6" s="9">
        <v>0.64341783554240117</v>
      </c>
      <c r="G6" s="9">
        <v>0</v>
      </c>
      <c r="H6" s="9">
        <v>10</v>
      </c>
      <c r="I6" s="9">
        <v>1.577628180039139</v>
      </c>
      <c r="J6" s="70">
        <v>4</v>
      </c>
      <c r="R6" s="75" t="s">
        <v>19</v>
      </c>
      <c r="S6" s="75">
        <v>1.577628180039139</v>
      </c>
      <c r="T6" s="74">
        <v>4</v>
      </c>
    </row>
    <row r="7" spans="1:20" ht="24" customHeight="1" x14ac:dyDescent="0.25">
      <c r="A7" s="68" t="s">
        <v>15</v>
      </c>
      <c r="B7" s="9">
        <v>4.9640429030753747E-2</v>
      </c>
      <c r="C7" s="9">
        <v>0.25714285714285712</v>
      </c>
      <c r="D7" s="9">
        <v>0.52054794520547953</v>
      </c>
      <c r="E7" s="9">
        <v>0.99257057949479943</v>
      </c>
      <c r="F7" s="9">
        <v>7.0775961909664203E-2</v>
      </c>
      <c r="G7" s="9">
        <v>0.94868534689569151</v>
      </c>
      <c r="H7" s="9">
        <v>8</v>
      </c>
      <c r="I7" s="9">
        <v>1.5227214703029277</v>
      </c>
      <c r="J7" s="70">
        <v>5</v>
      </c>
      <c r="R7" s="75" t="s">
        <v>15</v>
      </c>
      <c r="S7" s="75">
        <v>1.5227214703029277</v>
      </c>
      <c r="T7" s="74">
        <v>5</v>
      </c>
    </row>
    <row r="8" spans="1:20" ht="24" customHeight="1" x14ac:dyDescent="0.25">
      <c r="A8" s="68" t="s">
        <v>17</v>
      </c>
      <c r="B8" s="9">
        <v>0.21672434528630685</v>
      </c>
      <c r="C8" s="9">
        <v>0.42857142857142855</v>
      </c>
      <c r="D8" s="9">
        <v>0.5547945205479452</v>
      </c>
      <c r="E8" s="9">
        <v>1</v>
      </c>
      <c r="F8" s="9">
        <v>0.26380131257238459</v>
      </c>
      <c r="G8" s="9">
        <v>0.95765761443239628</v>
      </c>
      <c r="H8" s="9">
        <v>8</v>
      </c>
      <c r="I8" s="9">
        <v>1.505807904516284</v>
      </c>
      <c r="J8" s="70">
        <v>6</v>
      </c>
      <c r="R8" s="75" t="s">
        <v>17</v>
      </c>
      <c r="S8" s="75">
        <v>1.505807904516284</v>
      </c>
      <c r="T8" s="74">
        <v>6</v>
      </c>
    </row>
    <row r="9" spans="1:20" ht="24" customHeight="1" x14ac:dyDescent="0.25">
      <c r="A9" s="67" t="s">
        <v>9</v>
      </c>
      <c r="B9" s="8">
        <v>0.3868885452715804</v>
      </c>
      <c r="C9" s="8">
        <v>0.73142857142857143</v>
      </c>
      <c r="D9" s="8">
        <v>0.93287671232876712</v>
      </c>
      <c r="E9" s="8">
        <v>0.99851411589895989</v>
      </c>
      <c r="F9" s="8">
        <v>1</v>
      </c>
      <c r="G9" s="8">
        <v>0.96129210248536623</v>
      </c>
      <c r="H9" s="8">
        <v>10</v>
      </c>
      <c r="I9" s="8">
        <v>1.4961319670320865</v>
      </c>
      <c r="J9" s="69">
        <v>7</v>
      </c>
      <c r="R9" s="78" t="s">
        <v>9</v>
      </c>
      <c r="S9" s="78">
        <v>1.4961319670320865</v>
      </c>
      <c r="T9" s="77">
        <v>7</v>
      </c>
    </row>
    <row r="10" spans="1:20" ht="24" customHeight="1" x14ac:dyDescent="0.25">
      <c r="A10" s="67" t="s">
        <v>13</v>
      </c>
      <c r="B10" s="8">
        <v>0.16518174901210023</v>
      </c>
      <c r="C10" s="8">
        <v>8.2857142857142865E-2</v>
      </c>
      <c r="D10" s="8">
        <v>1</v>
      </c>
      <c r="E10" s="8">
        <v>0.99851411589895989</v>
      </c>
      <c r="F10" s="8">
        <v>0.69489126238579335</v>
      </c>
      <c r="G10" s="8">
        <v>0.27828423375875638</v>
      </c>
      <c r="H10" s="8">
        <v>10</v>
      </c>
      <c r="I10" s="8">
        <v>1.4254335613293889</v>
      </c>
      <c r="J10" s="69">
        <v>8</v>
      </c>
      <c r="R10" s="78" t="s">
        <v>13</v>
      </c>
      <c r="S10" s="78">
        <v>1.4254335613293889</v>
      </c>
      <c r="T10" s="77">
        <v>8</v>
      </c>
    </row>
    <row r="11" spans="1:20" ht="24" customHeight="1" x14ac:dyDescent="0.25">
      <c r="A11" s="67" t="s">
        <v>10</v>
      </c>
      <c r="B11" s="8">
        <v>9.2629408732788451E-2</v>
      </c>
      <c r="C11" s="8">
        <v>1</v>
      </c>
      <c r="D11" s="8">
        <v>0.3849315068493151</v>
      </c>
      <c r="E11" s="8">
        <v>0.99257057949479943</v>
      </c>
      <c r="F11" s="8">
        <v>0.9944022648307812</v>
      </c>
      <c r="G11" s="8">
        <v>0.99042798195950488</v>
      </c>
      <c r="H11" s="8">
        <v>8</v>
      </c>
      <c r="I11" s="8">
        <v>1.2021475775606496</v>
      </c>
      <c r="J11" s="69">
        <v>9</v>
      </c>
      <c r="R11" s="78" t="s">
        <v>10</v>
      </c>
      <c r="S11" s="78">
        <v>1.2021475775606496</v>
      </c>
      <c r="T11" s="77">
        <v>9</v>
      </c>
    </row>
    <row r="12" spans="1:20" ht="24" customHeight="1" x14ac:dyDescent="0.25">
      <c r="A12" s="67" t="s">
        <v>11</v>
      </c>
      <c r="B12" s="8">
        <v>6.074466779569497E-2</v>
      </c>
      <c r="C12" s="8">
        <v>0.44571428571428573</v>
      </c>
      <c r="D12" s="8">
        <v>0.52054794520547953</v>
      </c>
      <c r="E12" s="8">
        <v>0.99554234769687966</v>
      </c>
      <c r="F12" s="8">
        <v>0.4568266632351049</v>
      </c>
      <c r="G12" s="8">
        <v>1</v>
      </c>
      <c r="H12" s="8">
        <v>6</v>
      </c>
      <c r="I12" s="8">
        <v>1.1791524510464746</v>
      </c>
      <c r="J12" s="69">
        <v>10</v>
      </c>
      <c r="R12" s="78" t="s">
        <v>11</v>
      </c>
      <c r="S12" s="78">
        <v>1.1791524510464746</v>
      </c>
      <c r="T12" s="77">
        <v>10</v>
      </c>
    </row>
    <row r="13" spans="1:20" ht="24" customHeight="1" x14ac:dyDescent="0.25">
      <c r="A13" s="76" t="s">
        <v>12</v>
      </c>
      <c r="B13" s="77">
        <v>0</v>
      </c>
      <c r="C13" s="77">
        <v>0</v>
      </c>
      <c r="D13" s="77">
        <v>0</v>
      </c>
      <c r="E13" s="77">
        <v>0.99554234769687966</v>
      </c>
      <c r="F13" s="77">
        <v>0.81070647278342556</v>
      </c>
      <c r="G13" s="77">
        <v>0.97975242299203535</v>
      </c>
      <c r="H13" s="77">
        <v>8</v>
      </c>
      <c r="I13" s="77">
        <v>1.0676186301149539</v>
      </c>
      <c r="J13" s="78">
        <v>11</v>
      </c>
      <c r="R13" s="69" t="s">
        <v>12</v>
      </c>
      <c r="S13" s="69">
        <v>1.0676186301149539</v>
      </c>
      <c r="T13" s="8">
        <v>11</v>
      </c>
    </row>
    <row r="15" spans="1:20" ht="24" customHeight="1" x14ac:dyDescent="0.25">
      <c r="B15" s="10" t="s">
        <v>52</v>
      </c>
      <c r="C15" s="11"/>
    </row>
    <row r="16" spans="1:20" ht="24" customHeight="1" x14ac:dyDescent="0.3">
      <c r="B16" s="12"/>
      <c r="C16" s="13" t="s">
        <v>50</v>
      </c>
    </row>
    <row r="17" spans="2:3" ht="24" customHeight="1" x14ac:dyDescent="0.3">
      <c r="B17" s="14"/>
      <c r="C17" s="13" t="s">
        <v>51</v>
      </c>
    </row>
  </sheetData>
  <mergeCells count="3">
    <mergeCell ref="A1:J1"/>
    <mergeCell ref="B15:C15"/>
    <mergeCell ref="R1:T1"/>
  </mergeCells>
  <conditionalFormatting sqref="J3:J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879CC-27E9-4C10-8CAA-52F45A25E2D1}">
  <sheetPr>
    <tabColor rgb="FFFF0000"/>
  </sheetPr>
  <dimension ref="A1"/>
  <sheetViews>
    <sheetView showGridLines="0" topLeftCell="A5" workbookViewId="0">
      <selection activeCell="S39" sqref="S39"/>
    </sheetView>
  </sheetViews>
  <sheetFormatPr defaultRowHeight="15" x14ac:dyDescent="0.25"/>
  <cols>
    <col min="1" max="16384" width="9.140625" style="7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A3CA7-B3C7-4D1D-B6F2-C4FEEF8A37A7}">
  <sheetPr>
    <tabColor rgb="FFFF0000"/>
  </sheetPr>
  <dimension ref="A1:K37"/>
  <sheetViews>
    <sheetView showGridLines="0" topLeftCell="B1" workbookViewId="0">
      <selection activeCell="B15" sqref="B15:C22"/>
    </sheetView>
  </sheetViews>
  <sheetFormatPr defaultRowHeight="18" customHeight="1" x14ac:dyDescent="0.25"/>
  <cols>
    <col min="1" max="1" width="40.140625" style="7" customWidth="1"/>
    <col min="2" max="2" width="25.85546875" style="7" bestFit="1" customWidth="1"/>
    <col min="3" max="3" width="50.42578125" style="7" bestFit="1" customWidth="1"/>
    <col min="4" max="4" width="20.140625" style="7" bestFit="1" customWidth="1"/>
    <col min="5" max="5" width="24.140625" style="7" bestFit="1" customWidth="1"/>
    <col min="6" max="6" width="19.42578125" style="7" bestFit="1" customWidth="1"/>
    <col min="7" max="7" width="19.7109375" style="7" bestFit="1" customWidth="1"/>
    <col min="8" max="8" width="23.28515625" style="7" bestFit="1" customWidth="1"/>
    <col min="9" max="9" width="18.42578125" style="7" bestFit="1" customWidth="1"/>
    <col min="10" max="10" width="10.140625" style="7" bestFit="1" customWidth="1"/>
    <col min="11" max="11" width="12.140625" style="7" bestFit="1" customWidth="1"/>
    <col min="12" max="12" width="18" style="7" bestFit="1" customWidth="1"/>
    <col min="13" max="14" width="9.140625" style="7"/>
    <col min="15" max="15" width="23.42578125" style="7" bestFit="1" customWidth="1"/>
    <col min="16" max="16" width="20.140625" style="7" bestFit="1" customWidth="1"/>
    <col min="17" max="17" width="12" style="7" bestFit="1" customWidth="1"/>
    <col min="18" max="18" width="16.5703125" style="7" bestFit="1" customWidth="1"/>
    <col min="19" max="19" width="19.85546875" style="7" bestFit="1" customWidth="1"/>
    <col min="20" max="20" width="8.5703125" style="7" bestFit="1" customWidth="1"/>
    <col min="21" max="21" width="13.42578125" style="7" bestFit="1" customWidth="1"/>
    <col min="22" max="16384" width="9.140625" style="7"/>
  </cols>
  <sheetData>
    <row r="1" spans="1:10" ht="38.25" customHeight="1" x14ac:dyDescent="0.25">
      <c r="A1" s="4" t="s">
        <v>44</v>
      </c>
      <c r="B1" s="5"/>
      <c r="C1" s="5"/>
      <c r="D1" s="5"/>
      <c r="E1" s="5"/>
      <c r="F1" s="5"/>
      <c r="G1" s="5"/>
      <c r="H1" s="5"/>
      <c r="I1" s="5"/>
      <c r="J1" s="6"/>
    </row>
    <row r="2" spans="1:10" ht="18" customHeight="1" x14ac:dyDescent="0.25">
      <c r="A2" s="35" t="s">
        <v>0</v>
      </c>
      <c r="B2" s="36" t="s">
        <v>1</v>
      </c>
      <c r="C2" s="36" t="s">
        <v>2</v>
      </c>
      <c r="D2" s="36" t="s">
        <v>3</v>
      </c>
      <c r="E2" s="36" t="s">
        <v>4</v>
      </c>
      <c r="F2" s="36" t="s">
        <v>7</v>
      </c>
      <c r="G2" s="36" t="s">
        <v>35</v>
      </c>
      <c r="H2" s="36" t="s">
        <v>43</v>
      </c>
      <c r="I2" s="36" t="s">
        <v>45</v>
      </c>
      <c r="J2" s="37" t="s">
        <v>46</v>
      </c>
    </row>
    <row r="3" spans="1:10" ht="18" customHeight="1" x14ac:dyDescent="0.25">
      <c r="A3" s="38" t="s">
        <v>9</v>
      </c>
      <c r="B3" s="39">
        <v>0.3868885452715804</v>
      </c>
      <c r="C3" s="39">
        <v>0.73142857142857143</v>
      </c>
      <c r="D3" s="39">
        <v>0.93287671232876712</v>
      </c>
      <c r="E3" s="39">
        <v>0.99851411589895989</v>
      </c>
      <c r="F3" s="39">
        <f>(MAX($H$26:$H$36)-H26)/(MAX($H$26:$H$36)-MIN($H$26:$H$36))</f>
        <v>1</v>
      </c>
      <c r="G3" s="39">
        <v>0.96129210248536623</v>
      </c>
      <c r="H3" s="39">
        <v>10</v>
      </c>
      <c r="I3" s="40">
        <v>1.4961319670320865</v>
      </c>
      <c r="J3" s="41">
        <v>7</v>
      </c>
    </row>
    <row r="4" spans="1:10" ht="18" customHeight="1" x14ac:dyDescent="0.25">
      <c r="A4" s="38" t="s">
        <v>10</v>
      </c>
      <c r="B4" s="39">
        <v>9.2629408732788451E-2</v>
      </c>
      <c r="C4" s="39">
        <v>1</v>
      </c>
      <c r="D4" s="39">
        <v>0.3849315068493151</v>
      </c>
      <c r="E4" s="39">
        <v>0.99257057949479943</v>
      </c>
      <c r="F4" s="39">
        <f t="shared" ref="F4:F13" si="0">(MAX($H$26:$H$36)-H27)/(MAX($H$26:$H$36)-MIN($H$26:$H$36))</f>
        <v>0.9944022648307812</v>
      </c>
      <c r="G4" s="39">
        <v>0.99042798195950488</v>
      </c>
      <c r="H4" s="39">
        <v>8</v>
      </c>
      <c r="I4" s="40">
        <v>1.2021475775606496</v>
      </c>
      <c r="J4" s="41">
        <v>9</v>
      </c>
    </row>
    <row r="5" spans="1:10" ht="18" customHeight="1" x14ac:dyDescent="0.25">
      <c r="A5" s="38" t="s">
        <v>11</v>
      </c>
      <c r="B5" s="39">
        <v>6.074466779569497E-2</v>
      </c>
      <c r="C5" s="39">
        <v>0.44571428571428573</v>
      </c>
      <c r="D5" s="39">
        <v>0.52054794520547953</v>
      </c>
      <c r="E5" s="39">
        <v>0.99554234769687966</v>
      </c>
      <c r="F5" s="39">
        <f t="shared" si="0"/>
        <v>0.4568266632351049</v>
      </c>
      <c r="G5" s="39">
        <v>1</v>
      </c>
      <c r="H5" s="39">
        <v>6</v>
      </c>
      <c r="I5" s="40">
        <v>1.1791524510464746</v>
      </c>
      <c r="J5" s="41">
        <v>10</v>
      </c>
    </row>
    <row r="6" spans="1:10" ht="18" customHeight="1" x14ac:dyDescent="0.25">
      <c r="A6" s="38" t="s">
        <v>12</v>
      </c>
      <c r="B6" s="39">
        <v>0</v>
      </c>
      <c r="C6" s="39">
        <v>0</v>
      </c>
      <c r="D6" s="39">
        <v>0</v>
      </c>
      <c r="E6" s="39">
        <v>0.99554234769687966</v>
      </c>
      <c r="F6" s="39">
        <f t="shared" si="0"/>
        <v>0.81070647278342556</v>
      </c>
      <c r="G6" s="39">
        <v>0.97975242299203535</v>
      </c>
      <c r="H6" s="39">
        <v>8</v>
      </c>
      <c r="I6" s="40">
        <v>1.0676186301149539</v>
      </c>
      <c r="J6" s="41">
        <v>11</v>
      </c>
    </row>
    <row r="7" spans="1:10" ht="18" customHeight="1" x14ac:dyDescent="0.25">
      <c r="A7" s="38" t="s">
        <v>13</v>
      </c>
      <c r="B7" s="39">
        <v>0.16518174901210023</v>
      </c>
      <c r="C7" s="39">
        <v>8.2857142857142865E-2</v>
      </c>
      <c r="D7" s="39">
        <v>1</v>
      </c>
      <c r="E7" s="39">
        <v>0.99851411589895989</v>
      </c>
      <c r="F7" s="39">
        <f t="shared" si="0"/>
        <v>0.69489126238579335</v>
      </c>
      <c r="G7" s="39">
        <v>0.27828423375875638</v>
      </c>
      <c r="H7" s="39">
        <v>10</v>
      </c>
      <c r="I7" s="40">
        <v>1.4254335613293889</v>
      </c>
      <c r="J7" s="41">
        <v>8</v>
      </c>
    </row>
    <row r="8" spans="1:10" ht="18" customHeight="1" x14ac:dyDescent="0.25">
      <c r="A8" s="38" t="s">
        <v>14</v>
      </c>
      <c r="B8" s="39">
        <v>0.7686841911493999</v>
      </c>
      <c r="C8" s="39">
        <v>0.74285714285714288</v>
      </c>
      <c r="D8" s="39">
        <v>0.79589041095890412</v>
      </c>
      <c r="E8" s="39">
        <v>0.99851411589895989</v>
      </c>
      <c r="F8" s="39">
        <f t="shared" si="0"/>
        <v>0</v>
      </c>
      <c r="G8" s="39">
        <v>0.57762210920257184</v>
      </c>
      <c r="H8" s="39">
        <v>10</v>
      </c>
      <c r="I8" s="40">
        <v>2.0047498087231639</v>
      </c>
      <c r="J8" s="41">
        <v>1</v>
      </c>
    </row>
    <row r="9" spans="1:10" ht="18" customHeight="1" x14ac:dyDescent="0.25">
      <c r="A9" s="42" t="s">
        <v>15</v>
      </c>
      <c r="B9" s="43">
        <v>4.9640429030753747E-2</v>
      </c>
      <c r="C9" s="43">
        <v>0.25714285714285712</v>
      </c>
      <c r="D9" s="43">
        <v>0.52054794520547953</v>
      </c>
      <c r="E9" s="43">
        <v>0.99257057949479943</v>
      </c>
      <c r="F9" s="39">
        <f t="shared" si="0"/>
        <v>7.0775961909664203E-2</v>
      </c>
      <c r="G9" s="43">
        <v>0.94868534689569151</v>
      </c>
      <c r="H9" s="43">
        <v>8</v>
      </c>
      <c r="I9" s="44">
        <v>1.5227214703029277</v>
      </c>
      <c r="J9" s="45">
        <v>5</v>
      </c>
    </row>
    <row r="10" spans="1:10" ht="18" customHeight="1" x14ac:dyDescent="0.25">
      <c r="A10" s="42" t="s">
        <v>16</v>
      </c>
      <c r="B10" s="43">
        <v>0.74293743710576055</v>
      </c>
      <c r="C10" s="43">
        <v>0.62857142857142856</v>
      </c>
      <c r="D10" s="43">
        <v>0.65890410958904111</v>
      </c>
      <c r="E10" s="43">
        <v>0.99257057949479943</v>
      </c>
      <c r="F10" s="39">
        <f t="shared" si="0"/>
        <v>0.52116844678934504</v>
      </c>
      <c r="G10" s="43">
        <v>0.85875875635735544</v>
      </c>
      <c r="H10" s="43">
        <v>10</v>
      </c>
      <c r="I10" s="44">
        <v>1.7493700887081589</v>
      </c>
      <c r="J10" s="45">
        <v>2</v>
      </c>
    </row>
    <row r="11" spans="1:10" ht="46.5" customHeight="1" x14ac:dyDescent="0.25">
      <c r="A11" s="42" t="s">
        <v>17</v>
      </c>
      <c r="B11" s="43">
        <v>0.21672434528630685</v>
      </c>
      <c r="C11" s="43">
        <v>0.42857142857142855</v>
      </c>
      <c r="D11" s="43">
        <v>0.5547945205479452</v>
      </c>
      <c r="E11" s="43">
        <v>1</v>
      </c>
      <c r="F11" s="39">
        <f t="shared" si="0"/>
        <v>0.26380131257238459</v>
      </c>
      <c r="G11" s="43">
        <v>0.95765761443239628</v>
      </c>
      <c r="H11" s="43">
        <v>8</v>
      </c>
      <c r="I11" s="44">
        <v>1.505807904516284</v>
      </c>
      <c r="J11" s="45">
        <v>6</v>
      </c>
    </row>
    <row r="12" spans="1:10" ht="18" customHeight="1" x14ac:dyDescent="0.25">
      <c r="A12" s="42" t="s">
        <v>18</v>
      </c>
      <c r="B12" s="43">
        <v>0.54902682669415603</v>
      </c>
      <c r="C12" s="43">
        <v>0.28514285714285714</v>
      </c>
      <c r="D12" s="43">
        <v>0.76027397260273977</v>
      </c>
      <c r="E12" s="43">
        <v>0.99554234769687966</v>
      </c>
      <c r="F12" s="39">
        <f t="shared" si="0"/>
        <v>4.5039248487968128E-2</v>
      </c>
      <c r="G12" s="43">
        <v>0.71185586795892919</v>
      </c>
      <c r="H12" s="43">
        <v>8</v>
      </c>
      <c r="I12" s="44">
        <v>1.6690899865689397</v>
      </c>
      <c r="J12" s="45">
        <v>3</v>
      </c>
    </row>
    <row r="13" spans="1:10" ht="18" customHeight="1" x14ac:dyDescent="0.25">
      <c r="A13" s="46" t="s">
        <v>19</v>
      </c>
      <c r="B13" s="47">
        <v>1</v>
      </c>
      <c r="C13" s="47">
        <v>0.42857142857142855</v>
      </c>
      <c r="D13" s="47">
        <v>0.79452054794520555</v>
      </c>
      <c r="E13" s="47">
        <v>0</v>
      </c>
      <c r="F13" s="39">
        <f t="shared" si="0"/>
        <v>0.64341783554240117</v>
      </c>
      <c r="G13" s="47">
        <v>0</v>
      </c>
      <c r="H13" s="47">
        <v>10</v>
      </c>
      <c r="I13" s="48">
        <v>1.577628180039139</v>
      </c>
      <c r="J13" s="49">
        <v>4</v>
      </c>
    </row>
    <row r="15" spans="1:10" ht="18" customHeight="1" x14ac:dyDescent="0.25">
      <c r="A15" s="50" t="s">
        <v>39</v>
      </c>
      <c r="B15" s="50" t="s">
        <v>40</v>
      </c>
      <c r="C15" s="50" t="s">
        <v>41</v>
      </c>
    </row>
    <row r="16" spans="1:10" ht="18" customHeight="1" x14ac:dyDescent="0.25">
      <c r="A16" s="1" t="s">
        <v>1</v>
      </c>
      <c r="B16" s="3">
        <v>0.25</v>
      </c>
      <c r="C16" s="2" t="s">
        <v>47</v>
      </c>
    </row>
    <row r="17" spans="1:11" ht="18" customHeight="1" x14ac:dyDescent="0.25">
      <c r="A17" s="1" t="s">
        <v>2</v>
      </c>
      <c r="B17" s="3">
        <v>0.15</v>
      </c>
      <c r="C17" s="2" t="s">
        <v>47</v>
      </c>
    </row>
    <row r="18" spans="1:11" ht="18" customHeight="1" x14ac:dyDescent="0.25">
      <c r="A18" s="1" t="s">
        <v>3</v>
      </c>
      <c r="B18" s="3">
        <v>0.12</v>
      </c>
      <c r="C18" s="2" t="s">
        <v>48</v>
      </c>
    </row>
    <row r="19" spans="1:11" ht="18" customHeight="1" x14ac:dyDescent="0.25">
      <c r="A19" s="1" t="s">
        <v>4</v>
      </c>
      <c r="B19" s="3">
        <v>0.08</v>
      </c>
      <c r="C19" s="2" t="s">
        <v>48</v>
      </c>
    </row>
    <row r="20" spans="1:11" ht="18" customHeight="1" x14ac:dyDescent="0.25">
      <c r="A20" s="1" t="s">
        <v>7</v>
      </c>
      <c r="B20" s="3">
        <v>0.15</v>
      </c>
      <c r="C20" s="2" t="s">
        <v>48</v>
      </c>
    </row>
    <row r="21" spans="1:11" ht="18" customHeight="1" x14ac:dyDescent="0.25">
      <c r="A21" s="1" t="s">
        <v>42</v>
      </c>
      <c r="B21" s="3">
        <v>0.1</v>
      </c>
      <c r="C21" s="2" t="s">
        <v>48</v>
      </c>
    </row>
    <row r="22" spans="1:11" ht="18" customHeight="1" x14ac:dyDescent="0.25">
      <c r="A22" s="1" t="s">
        <v>8</v>
      </c>
      <c r="B22" s="3">
        <v>0.1</v>
      </c>
      <c r="C22" s="2" t="s">
        <v>49</v>
      </c>
    </row>
    <row r="25" spans="1:11" ht="45" customHeight="1" x14ac:dyDescent="0.25">
      <c r="A25" s="51" t="s">
        <v>0</v>
      </c>
      <c r="B25" s="51" t="s">
        <v>1</v>
      </c>
      <c r="C25" s="51" t="s">
        <v>2</v>
      </c>
      <c r="D25" s="51" t="s">
        <v>3</v>
      </c>
      <c r="E25" s="51" t="s">
        <v>4</v>
      </c>
      <c r="F25" s="51" t="s">
        <v>5</v>
      </c>
      <c r="G25" s="51" t="s">
        <v>6</v>
      </c>
      <c r="H25" s="51" t="s">
        <v>7</v>
      </c>
      <c r="I25" s="51" t="s">
        <v>35</v>
      </c>
      <c r="J25" s="51" t="s">
        <v>38</v>
      </c>
      <c r="K25" s="51" t="s">
        <v>8</v>
      </c>
    </row>
    <row r="26" spans="1:11" ht="18" customHeight="1" x14ac:dyDescent="0.25">
      <c r="A26" s="51" t="s">
        <v>9</v>
      </c>
      <c r="B26" s="51">
        <v>33276</v>
      </c>
      <c r="C26" s="51">
        <v>38.6</v>
      </c>
      <c r="D26" s="51">
        <v>9.99</v>
      </c>
      <c r="E26" s="51">
        <v>0.03</v>
      </c>
      <c r="F26" s="51">
        <v>12</v>
      </c>
      <c r="G26" s="51">
        <v>84</v>
      </c>
      <c r="H26" s="52">
        <v>1.1599999999999999E-2</v>
      </c>
      <c r="I26" s="51">
        <v>174.95</v>
      </c>
      <c r="J26" s="52">
        <v>5.2575429739151339E-3</v>
      </c>
      <c r="K26" s="51" t="s">
        <v>32</v>
      </c>
    </row>
    <row r="27" spans="1:11" ht="18" customHeight="1" x14ac:dyDescent="0.25">
      <c r="A27" s="51" t="s">
        <v>10</v>
      </c>
      <c r="B27" s="51">
        <v>9298</v>
      </c>
      <c r="C27" s="51">
        <v>48</v>
      </c>
      <c r="D27" s="51">
        <v>13.99</v>
      </c>
      <c r="E27" s="51">
        <v>0.05</v>
      </c>
      <c r="F27" s="51">
        <v>12</v>
      </c>
      <c r="G27" s="51">
        <v>60</v>
      </c>
      <c r="H27" s="52">
        <v>2.9000000000000001E-2</v>
      </c>
      <c r="I27" s="51">
        <v>53.5</v>
      </c>
      <c r="J27" s="52">
        <f>I27/B27</f>
        <v>5.7539255753925574E-3</v>
      </c>
      <c r="K27" s="51" t="s">
        <v>34</v>
      </c>
    </row>
    <row r="28" spans="1:11" ht="18" customHeight="1" x14ac:dyDescent="0.25">
      <c r="A28" s="51" t="s">
        <v>11</v>
      </c>
      <c r="B28" s="51">
        <v>6699.84</v>
      </c>
      <c r="C28" s="51">
        <v>28.6</v>
      </c>
      <c r="D28" s="51">
        <v>13</v>
      </c>
      <c r="E28" s="51">
        <v>0.04</v>
      </c>
      <c r="F28" s="51">
        <v>12</v>
      </c>
      <c r="G28" s="51">
        <v>48</v>
      </c>
      <c r="H28" s="52">
        <v>1.7</v>
      </c>
      <c r="I28" s="51">
        <v>13.6</v>
      </c>
      <c r="J28" s="52">
        <v>2.0298992214739455E-3</v>
      </c>
      <c r="K28" s="51" t="s">
        <v>36</v>
      </c>
    </row>
    <row r="29" spans="1:11" ht="18" customHeight="1" x14ac:dyDescent="0.25">
      <c r="A29" s="51" t="s">
        <v>12</v>
      </c>
      <c r="B29" s="51">
        <v>1750</v>
      </c>
      <c r="C29" s="51">
        <v>13</v>
      </c>
      <c r="D29" s="51">
        <v>16.8</v>
      </c>
      <c r="E29" s="51">
        <v>0.04</v>
      </c>
      <c r="F29" s="51">
        <v>12</v>
      </c>
      <c r="G29" s="51">
        <v>180</v>
      </c>
      <c r="H29" s="52">
        <v>0.6</v>
      </c>
      <c r="I29" s="51">
        <v>98</v>
      </c>
      <c r="J29" s="52">
        <v>5.6000000000000001E-2</v>
      </c>
      <c r="K29" s="51" t="s">
        <v>34</v>
      </c>
    </row>
    <row r="30" spans="1:11" ht="18" customHeight="1" x14ac:dyDescent="0.25">
      <c r="A30" s="51" t="s">
        <v>13</v>
      </c>
      <c r="B30" s="51">
        <v>15210</v>
      </c>
      <c r="C30" s="51">
        <v>15.9</v>
      </c>
      <c r="D30" s="51">
        <v>9.5</v>
      </c>
      <c r="E30" s="51">
        <v>0.03</v>
      </c>
      <c r="F30" s="51">
        <v>12</v>
      </c>
      <c r="G30" s="51">
        <v>72</v>
      </c>
      <c r="H30" s="52">
        <v>0.96</v>
      </c>
      <c r="I30" s="51">
        <v>3022</v>
      </c>
      <c r="J30" s="52">
        <v>0.19868507560815254</v>
      </c>
      <c r="K30" s="51" t="s">
        <v>32</v>
      </c>
    </row>
    <row r="31" spans="1:11" ht="18" customHeight="1" x14ac:dyDescent="0.25">
      <c r="A31" s="51" t="s">
        <v>14</v>
      </c>
      <c r="B31" s="51">
        <v>64387</v>
      </c>
      <c r="C31" s="51">
        <v>39</v>
      </c>
      <c r="D31" s="51">
        <v>10.99</v>
      </c>
      <c r="E31" s="51">
        <v>0.03</v>
      </c>
      <c r="F31" s="51">
        <v>12</v>
      </c>
      <c r="G31" s="51">
        <v>48</v>
      </c>
      <c r="H31" s="52">
        <v>3.12</v>
      </c>
      <c r="I31" s="51">
        <v>1774.24</v>
      </c>
      <c r="J31" s="52">
        <v>2.755587307996956E-2</v>
      </c>
      <c r="K31" s="51" t="s">
        <v>32</v>
      </c>
    </row>
    <row r="32" spans="1:11" ht="18" customHeight="1" x14ac:dyDescent="0.25">
      <c r="A32" s="51" t="s">
        <v>15</v>
      </c>
      <c r="B32" s="51">
        <v>5795</v>
      </c>
      <c r="C32" s="51">
        <v>22</v>
      </c>
      <c r="D32" s="51">
        <v>13</v>
      </c>
      <c r="E32" s="51">
        <v>0.05</v>
      </c>
      <c r="F32" s="51">
        <v>12</v>
      </c>
      <c r="G32" s="51">
        <v>36</v>
      </c>
      <c r="H32" s="52">
        <v>2.9</v>
      </c>
      <c r="I32" s="51">
        <v>227.5</v>
      </c>
      <c r="J32" s="52">
        <v>3.9257981018119066E-2</v>
      </c>
      <c r="K32" s="51" t="s">
        <v>34</v>
      </c>
    </row>
    <row r="33" spans="1:11" ht="18" customHeight="1" x14ac:dyDescent="0.25">
      <c r="A33" s="51" t="s">
        <v>16</v>
      </c>
      <c r="B33" s="51">
        <v>62289</v>
      </c>
      <c r="C33" s="51">
        <v>35</v>
      </c>
      <c r="D33" s="51">
        <v>11.99</v>
      </c>
      <c r="E33" s="51">
        <v>0.05</v>
      </c>
      <c r="F33" s="51">
        <v>12</v>
      </c>
      <c r="G33" s="51">
        <v>72</v>
      </c>
      <c r="H33" s="52">
        <v>1.5</v>
      </c>
      <c r="I33" s="51">
        <v>602.35</v>
      </c>
      <c r="J33" s="52">
        <v>9.6702467530382571E-3</v>
      </c>
      <c r="K33" s="51" t="s">
        <v>32</v>
      </c>
    </row>
    <row r="34" spans="1:11" ht="18" customHeight="1" x14ac:dyDescent="0.25">
      <c r="A34" s="51" t="s">
        <v>17</v>
      </c>
      <c r="B34" s="51">
        <v>19410</v>
      </c>
      <c r="C34" s="51">
        <v>28</v>
      </c>
      <c r="D34" s="51">
        <v>12.75</v>
      </c>
      <c r="E34" s="51">
        <v>2.5000000000000001E-2</v>
      </c>
      <c r="F34" s="51">
        <v>3</v>
      </c>
      <c r="G34" s="51">
        <v>42</v>
      </c>
      <c r="H34" s="52">
        <v>2.2999999999999998</v>
      </c>
      <c r="I34" s="51">
        <v>190.1</v>
      </c>
      <c r="J34" s="52">
        <v>9.7939206594538902E-3</v>
      </c>
      <c r="K34" s="51" t="s">
        <v>34</v>
      </c>
    </row>
    <row r="35" spans="1:11" ht="18" customHeight="1" x14ac:dyDescent="0.25">
      <c r="A35" s="51" t="s">
        <v>18</v>
      </c>
      <c r="B35" s="51">
        <v>46488</v>
      </c>
      <c r="C35" s="51">
        <v>22.98</v>
      </c>
      <c r="D35" s="51">
        <v>11.25</v>
      </c>
      <c r="E35" s="51">
        <v>0.04</v>
      </c>
      <c r="F35" s="51">
        <v>12</v>
      </c>
      <c r="G35" s="51">
        <v>96</v>
      </c>
      <c r="H35" s="52">
        <v>2.98</v>
      </c>
      <c r="I35" s="51">
        <v>1214.7</v>
      </c>
      <c r="J35" s="52">
        <v>2.6129323696437792E-2</v>
      </c>
      <c r="K35" s="51" t="s">
        <v>34</v>
      </c>
    </row>
    <row r="36" spans="1:11" ht="18" customHeight="1" x14ac:dyDescent="0.25">
      <c r="A36" s="51" t="s">
        <v>19</v>
      </c>
      <c r="B36" s="51">
        <v>83236</v>
      </c>
      <c r="C36" s="51">
        <v>28</v>
      </c>
      <c r="D36" s="51">
        <v>11</v>
      </c>
      <c r="E36" s="51">
        <v>3.39</v>
      </c>
      <c r="F36" s="51">
        <v>12</v>
      </c>
      <c r="G36" s="51">
        <v>96</v>
      </c>
      <c r="H36" s="52">
        <v>1.1200000000000001</v>
      </c>
      <c r="I36" s="51">
        <v>4182</v>
      </c>
      <c r="J36" s="52">
        <v>5.0242683454274593E-2</v>
      </c>
      <c r="K36" s="51" t="s">
        <v>32</v>
      </c>
    </row>
    <row r="37" spans="1:11" ht="18" customHeight="1" x14ac:dyDescent="0.25">
      <c r="H37" s="86"/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6980A-5ADD-425F-8CCA-64ABB75A2D54}">
  <sheetPr>
    <tabColor rgb="FFFF0000"/>
  </sheetPr>
  <dimension ref="A1:K31"/>
  <sheetViews>
    <sheetView showGridLines="0" workbookViewId="0">
      <pane xSplit="1" ySplit="1" topLeftCell="B2" activePane="bottomRight" state="frozen"/>
      <selection activeCell="E30" sqref="E30"/>
      <selection pane="topRight" activeCell="E30" sqref="E30"/>
      <selection pane="bottomLeft" activeCell="E30" sqref="E30"/>
      <selection pane="bottomRight" activeCell="C16" sqref="C16:G16"/>
    </sheetView>
  </sheetViews>
  <sheetFormatPr defaultColWidth="23" defaultRowHeight="20.100000000000001" customHeight="1" x14ac:dyDescent="0.25"/>
  <cols>
    <col min="1" max="1" width="30.5703125" style="7" customWidth="1"/>
    <col min="2" max="2" width="24.85546875" style="7" customWidth="1"/>
    <col min="3" max="5" width="23" style="7"/>
    <col min="6" max="6" width="24.5703125" style="7" customWidth="1"/>
    <col min="7" max="7" width="25" style="7" customWidth="1"/>
    <col min="8" max="16384" width="23" style="7"/>
  </cols>
  <sheetData>
    <row r="1" spans="1:11" ht="20.100000000000001" customHeigh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35</v>
      </c>
      <c r="J1" s="16" t="s">
        <v>38</v>
      </c>
      <c r="K1" s="17" t="s">
        <v>8</v>
      </c>
    </row>
    <row r="2" spans="1:11" ht="20.100000000000001" customHeight="1" x14ac:dyDescent="0.25">
      <c r="A2" s="18" t="s">
        <v>9</v>
      </c>
      <c r="B2" s="19">
        <v>33276</v>
      </c>
      <c r="C2" s="20">
        <v>38.6</v>
      </c>
      <c r="D2" s="21">
        <v>9.99</v>
      </c>
      <c r="E2" s="22">
        <v>0.03</v>
      </c>
      <c r="F2" s="20">
        <v>12</v>
      </c>
      <c r="G2" s="20">
        <v>84</v>
      </c>
      <c r="H2" s="23">
        <v>1.1599999999999999E-2</v>
      </c>
      <c r="I2" s="20">
        <v>174.95</v>
      </c>
      <c r="J2" s="23">
        <f>I2/B2</f>
        <v>5.2575429739151339E-3</v>
      </c>
      <c r="K2" s="24" t="s">
        <v>32</v>
      </c>
    </row>
    <row r="3" spans="1:11" ht="20.100000000000001" customHeight="1" x14ac:dyDescent="0.25">
      <c r="A3" s="18" t="s">
        <v>10</v>
      </c>
      <c r="B3" s="25">
        <v>9298</v>
      </c>
      <c r="C3" s="20">
        <v>48</v>
      </c>
      <c r="D3" s="20">
        <v>13.99</v>
      </c>
      <c r="E3" s="22">
        <v>0.05</v>
      </c>
      <c r="F3" s="20">
        <v>12</v>
      </c>
      <c r="G3" s="20">
        <v>60</v>
      </c>
      <c r="H3" s="23">
        <v>2.9000000000000001E-2</v>
      </c>
      <c r="I3" s="26">
        <v>53.5</v>
      </c>
      <c r="K3" s="24" t="s">
        <v>34</v>
      </c>
    </row>
    <row r="4" spans="1:11" ht="20.100000000000001" customHeight="1" x14ac:dyDescent="0.25">
      <c r="A4" s="18" t="s">
        <v>11</v>
      </c>
      <c r="B4" s="27">
        <v>6699.84</v>
      </c>
      <c r="C4" s="20">
        <v>28.6</v>
      </c>
      <c r="D4" s="20">
        <v>13</v>
      </c>
      <c r="E4" s="22">
        <v>0.04</v>
      </c>
      <c r="F4" s="20">
        <v>12</v>
      </c>
      <c r="G4" s="20">
        <v>48</v>
      </c>
      <c r="H4" s="20">
        <v>1.7</v>
      </c>
      <c r="I4" s="20">
        <v>13.6</v>
      </c>
      <c r="J4" s="23">
        <f t="shared" ref="J4:J12" si="0">I4/B4</f>
        <v>2.0298992214739455E-3</v>
      </c>
      <c r="K4" s="24" t="s">
        <v>36</v>
      </c>
    </row>
    <row r="5" spans="1:11" ht="20.100000000000001" customHeight="1" x14ac:dyDescent="0.25">
      <c r="A5" s="18" t="s">
        <v>12</v>
      </c>
      <c r="B5" s="19">
        <v>1750</v>
      </c>
      <c r="C5" s="20">
        <v>13</v>
      </c>
      <c r="D5" s="20">
        <v>16.8</v>
      </c>
      <c r="E5" s="22">
        <v>0.04</v>
      </c>
      <c r="F5" s="20">
        <v>12</v>
      </c>
      <c r="G5" s="20">
        <v>180</v>
      </c>
      <c r="H5" s="20">
        <v>0.6</v>
      </c>
      <c r="I5" s="20">
        <v>98</v>
      </c>
      <c r="J5" s="23">
        <f t="shared" si="0"/>
        <v>5.6000000000000001E-2</v>
      </c>
      <c r="K5" s="24" t="s">
        <v>34</v>
      </c>
    </row>
    <row r="6" spans="1:11" ht="20.100000000000001" customHeight="1" x14ac:dyDescent="0.25">
      <c r="A6" s="18" t="s">
        <v>13</v>
      </c>
      <c r="B6" s="19">
        <v>15210</v>
      </c>
      <c r="C6" s="20">
        <v>15.9</v>
      </c>
      <c r="D6" s="20">
        <v>9.5</v>
      </c>
      <c r="E6" s="28">
        <v>0.03</v>
      </c>
      <c r="F6" s="20">
        <v>12</v>
      </c>
      <c r="G6" s="20">
        <v>72</v>
      </c>
      <c r="H6" s="20">
        <v>0.96</v>
      </c>
      <c r="I6" s="19">
        <v>3022</v>
      </c>
      <c r="J6" s="23">
        <f t="shared" si="0"/>
        <v>0.19868507560815254</v>
      </c>
      <c r="K6" s="24" t="s">
        <v>32</v>
      </c>
    </row>
    <row r="7" spans="1:11" ht="20.100000000000001" customHeight="1" x14ac:dyDescent="0.25">
      <c r="A7" s="18" t="s">
        <v>14</v>
      </c>
      <c r="B7" s="19">
        <v>64387</v>
      </c>
      <c r="C7" s="20">
        <v>39</v>
      </c>
      <c r="D7" s="20">
        <v>10.99</v>
      </c>
      <c r="E7" s="22">
        <v>0.03</v>
      </c>
      <c r="F7" s="20">
        <v>12</v>
      </c>
      <c r="G7" s="20">
        <v>48</v>
      </c>
      <c r="H7" s="20">
        <v>3.12</v>
      </c>
      <c r="I7" s="27">
        <v>1774.24</v>
      </c>
      <c r="J7" s="23">
        <f t="shared" si="0"/>
        <v>2.755587307996956E-2</v>
      </c>
      <c r="K7" s="24" t="s">
        <v>32</v>
      </c>
    </row>
    <row r="8" spans="1:11" ht="20.100000000000001" customHeight="1" x14ac:dyDescent="0.25">
      <c r="A8" s="18" t="s">
        <v>15</v>
      </c>
      <c r="B8" s="19">
        <v>5795</v>
      </c>
      <c r="C8" s="20">
        <v>22</v>
      </c>
      <c r="D8" s="20">
        <v>13</v>
      </c>
      <c r="E8" s="22">
        <v>0.05</v>
      </c>
      <c r="F8" s="20">
        <v>12</v>
      </c>
      <c r="G8" s="20">
        <v>36</v>
      </c>
      <c r="H8" s="20">
        <v>2.9</v>
      </c>
      <c r="I8" s="20">
        <v>227.5</v>
      </c>
      <c r="J8" s="23">
        <f t="shared" si="0"/>
        <v>3.9257981018119066E-2</v>
      </c>
      <c r="K8" s="24" t="s">
        <v>34</v>
      </c>
    </row>
    <row r="9" spans="1:11" ht="20.100000000000001" customHeight="1" x14ac:dyDescent="0.25">
      <c r="A9" s="18" t="s">
        <v>16</v>
      </c>
      <c r="B9" s="19">
        <v>62289</v>
      </c>
      <c r="C9" s="20">
        <v>35</v>
      </c>
      <c r="D9" s="20">
        <v>11.99</v>
      </c>
      <c r="E9" s="22">
        <v>0.05</v>
      </c>
      <c r="F9" s="20">
        <v>12</v>
      </c>
      <c r="G9" s="20">
        <v>72</v>
      </c>
      <c r="H9" s="20">
        <v>1.5</v>
      </c>
      <c r="I9" s="20">
        <v>602.35</v>
      </c>
      <c r="J9" s="23">
        <f t="shared" si="0"/>
        <v>9.6702467530382571E-3</v>
      </c>
      <c r="K9" s="24" t="s">
        <v>32</v>
      </c>
    </row>
    <row r="10" spans="1:11" ht="20.100000000000001" customHeight="1" x14ac:dyDescent="0.25">
      <c r="A10" s="18" t="s">
        <v>17</v>
      </c>
      <c r="B10" s="19">
        <v>19410</v>
      </c>
      <c r="C10" s="20">
        <v>28</v>
      </c>
      <c r="D10" s="20">
        <v>12.75</v>
      </c>
      <c r="E10" s="23">
        <v>2.5000000000000001E-2</v>
      </c>
      <c r="F10" s="20">
        <v>3</v>
      </c>
      <c r="G10" s="20">
        <v>42</v>
      </c>
      <c r="H10" s="20">
        <v>2.2999999999999998</v>
      </c>
      <c r="I10" s="20">
        <v>190.1</v>
      </c>
      <c r="J10" s="23">
        <f t="shared" si="0"/>
        <v>9.7939206594538902E-3</v>
      </c>
      <c r="K10" s="24" t="s">
        <v>34</v>
      </c>
    </row>
    <row r="11" spans="1:11" ht="20.100000000000001" customHeight="1" x14ac:dyDescent="0.25">
      <c r="A11" s="18" t="s">
        <v>18</v>
      </c>
      <c r="B11" s="19">
        <v>46488</v>
      </c>
      <c r="C11" s="20">
        <v>22.98</v>
      </c>
      <c r="D11" s="20">
        <v>11.25</v>
      </c>
      <c r="E11" s="22">
        <v>0.04</v>
      </c>
      <c r="F11" s="20">
        <v>12</v>
      </c>
      <c r="G11" s="20">
        <v>96</v>
      </c>
      <c r="H11" s="27">
        <v>2.98</v>
      </c>
      <c r="I11" s="20">
        <v>1214.7</v>
      </c>
      <c r="J11" s="23">
        <f t="shared" si="0"/>
        <v>2.6129323696437792E-2</v>
      </c>
      <c r="K11" s="24" t="s">
        <v>34</v>
      </c>
    </row>
    <row r="12" spans="1:11" ht="20.100000000000001" customHeight="1" x14ac:dyDescent="0.25">
      <c r="A12" s="29" t="s">
        <v>19</v>
      </c>
      <c r="B12" s="30">
        <v>83236</v>
      </c>
      <c r="C12" s="31">
        <v>28</v>
      </c>
      <c r="D12" s="31">
        <v>11</v>
      </c>
      <c r="E12" s="31">
        <v>3.39</v>
      </c>
      <c r="F12" s="31">
        <v>12</v>
      </c>
      <c r="G12" s="31">
        <v>96</v>
      </c>
      <c r="H12" s="31">
        <v>1.1200000000000001</v>
      </c>
      <c r="I12" s="30">
        <v>4182</v>
      </c>
      <c r="J12" s="32">
        <f t="shared" si="0"/>
        <v>5.0242683454274593E-2</v>
      </c>
      <c r="K12" s="33" t="s">
        <v>32</v>
      </c>
    </row>
    <row r="16" spans="1:11" ht="58.5" customHeight="1" x14ac:dyDescent="0.25">
      <c r="C16" s="87" t="s">
        <v>55</v>
      </c>
      <c r="D16" s="87"/>
      <c r="E16" s="87"/>
      <c r="F16" s="87"/>
      <c r="G16" s="87"/>
    </row>
    <row r="17" spans="1:10" ht="20.100000000000001" customHeight="1" x14ac:dyDescent="0.25">
      <c r="C17" s="34"/>
    </row>
    <row r="18" spans="1:10" ht="20.100000000000001" customHeight="1" x14ac:dyDescent="0.25">
      <c r="C18" s="34"/>
    </row>
    <row r="19" spans="1:10" ht="20.100000000000001" customHeight="1" x14ac:dyDescent="0.25">
      <c r="A19" s="4" t="s">
        <v>44</v>
      </c>
      <c r="B19" s="5"/>
      <c r="C19" s="5"/>
      <c r="D19" s="5"/>
      <c r="E19" s="5"/>
      <c r="F19" s="5"/>
      <c r="G19" s="5"/>
      <c r="H19" s="5"/>
      <c r="I19" s="5"/>
      <c r="J19" s="6"/>
    </row>
    <row r="20" spans="1:10" ht="20.100000000000001" customHeight="1" x14ac:dyDescent="0.25">
      <c r="A20" s="79" t="s">
        <v>0</v>
      </c>
      <c r="B20" s="79" t="s">
        <v>1</v>
      </c>
      <c r="C20" s="79" t="s">
        <v>2</v>
      </c>
      <c r="D20" s="79" t="s">
        <v>3</v>
      </c>
      <c r="E20" s="79" t="s">
        <v>4</v>
      </c>
      <c r="F20" s="79" t="s">
        <v>7</v>
      </c>
      <c r="G20" s="79" t="s">
        <v>35</v>
      </c>
      <c r="H20" s="79" t="s">
        <v>43</v>
      </c>
      <c r="I20" s="79" t="s">
        <v>45</v>
      </c>
      <c r="J20" s="80" t="s">
        <v>46</v>
      </c>
    </row>
    <row r="21" spans="1:10" ht="20.100000000000001" customHeight="1" x14ac:dyDescent="0.25">
      <c r="A21" s="81" t="s">
        <v>9</v>
      </c>
      <c r="B21" s="81">
        <f>('Normalized Data'!B26-MIN('Normalized Data'!$B$26:$B$36))/(MAX('Normalized Data'!$B$26:$B$36)-MIN('Normalized Data'!$B$26:$B$36))</f>
        <v>0.3868885452715804</v>
      </c>
      <c r="C21" s="81">
        <f>('Normalized Data'!C26-MIN('Normalized Data'!$C$26:$C$36))/(MAX('Normalized Data'!$C$26:$C$36)-MIN('Normalized Data'!$C$26:$C$36))</f>
        <v>0.73142857142857143</v>
      </c>
      <c r="D21" s="81">
        <f>(MAX('Normalized Data'!$D$26:$D$36)-'Normalized Data'!D26)/(MAX('Normalized Data'!$D$26:$D$36)-MIN('Normalized Data'!$D$26:$D$36))</f>
        <v>0.93287671232876712</v>
      </c>
      <c r="E21" s="81">
        <f>(MAX('Normalized Data'!$E$26:$E$36)-'Normalized Data'!E26)/(MAX('Normalized Data'!$E$26:$E$36)-MIN('Normalized Data'!$E$26:$E$36))</f>
        <v>0.99851411589895989</v>
      </c>
      <c r="F21" s="81">
        <f>(MAX('Normalized Data'!$F$26:$F$36)-'Normalized Data'!F26)/(MAX('Normalized Data'!$F$26:$F$36)-MIN('Normalized Data'!$F$26:$F$36))</f>
        <v>0</v>
      </c>
      <c r="G21" s="81">
        <f>(MAX('Normalized Data'!$I$26:$I$36)-'Normalized Data'!I26)/(MAX('Normalized Data'!$I$26:$I$36)-MIN('Normalized Data'!$I$26:$I$36))</f>
        <v>0.96129210248536623</v>
      </c>
      <c r="H21" s="81" cm="1">
        <f t="array" ref="H21">_xlfn.IFS('Normalized Data'!K26="AAA",10,'Normalized Data'!K26="AA",8,'Normalized Data'!K26="A",6)</f>
        <v>10</v>
      </c>
      <c r="I21" s="82">
        <f>(B21*0.25) + (C21*0.15) + (D21*0.12) + (E21*0.08) + (F21*0.15) + (G21*0.1) + (H21*0.1)</f>
        <v>1.4943919670320862</v>
      </c>
      <c r="J21" s="83">
        <f>_xlfn.RANK.EQ(I21, I$21:I$31, 0) - COUNTIF(I$21:I21, I21) + 1</f>
        <v>7</v>
      </c>
    </row>
    <row r="22" spans="1:10" ht="20.100000000000001" customHeight="1" x14ac:dyDescent="0.25">
      <c r="A22" s="81" t="s">
        <v>10</v>
      </c>
      <c r="B22" s="81">
        <f>('Normalized Data'!B27-MIN('Normalized Data'!$B$26:$B$36))/(MAX('Normalized Data'!$B$26:$B$36)-MIN('Normalized Data'!$B$26:$B$36))</f>
        <v>9.2629408732788451E-2</v>
      </c>
      <c r="C22" s="81">
        <f>('Normalized Data'!C27-MIN('Normalized Data'!$C$26:$C$36))/(MAX('Normalized Data'!$C$26:$C$36)-MIN('Normalized Data'!$C$26:$C$36))</f>
        <v>1</v>
      </c>
      <c r="D22" s="81">
        <f>(MAX('Normalized Data'!$D$26:$D$36)-'Normalized Data'!D27)/(MAX('Normalized Data'!$D$26:$D$36)-MIN('Normalized Data'!$D$26:$D$36))</f>
        <v>0.3849315068493151</v>
      </c>
      <c r="E22" s="81">
        <f>(MAX('Normalized Data'!$E$26:$E$36)-'Normalized Data'!E27)/(MAX('Normalized Data'!$E$26:$E$36)-MIN('Normalized Data'!$E$26:$E$36))</f>
        <v>0.99257057949479943</v>
      </c>
      <c r="F22" s="81">
        <v>2.9000000000000001E-2</v>
      </c>
      <c r="G22" s="81">
        <f>(MAX('Normalized Data'!$I$26:$I$36)-'Normalized Data'!I27)/(MAX('Normalized Data'!$I$26:$I$36)-MIN('Normalized Data'!$I$26:$I$36))</f>
        <v>0.99042798195950488</v>
      </c>
      <c r="H22" s="81" cm="1">
        <f t="array" ref="H22">_xlfn.IFS('Normalized Data'!K27="AAA",10,'Normalized Data'!K27="AA",8,'Normalized Data'!K27="A",6)</f>
        <v>8</v>
      </c>
      <c r="I22" s="82">
        <f t="shared" ref="I22:I31" si="1">(B22*0.25) + (C22*0.15) + (D22*0.12) + (E22*0.08) + (F22*0.15) + (G22*0.1) + (H22*0.1)</f>
        <v>1.2021475775606496</v>
      </c>
      <c r="J22" s="83">
        <f>_xlfn.RANK.EQ(I22, I$21:I$31, 0) - COUNTIF(I$21:I22, I22) + 1</f>
        <v>9</v>
      </c>
    </row>
    <row r="23" spans="1:10" ht="20.100000000000001" customHeight="1" x14ac:dyDescent="0.25">
      <c r="A23" s="81" t="s">
        <v>11</v>
      </c>
      <c r="B23" s="81">
        <f>('Normalized Data'!B28-MIN('Normalized Data'!$B$26:$B$36))/(MAX('Normalized Data'!$B$26:$B$36)-MIN('Normalized Data'!$B$26:$B$36))</f>
        <v>6.074466779569497E-2</v>
      </c>
      <c r="C23" s="81">
        <f>('Normalized Data'!C28-MIN('Normalized Data'!$C$26:$C$36))/(MAX('Normalized Data'!$C$26:$C$36)-MIN('Normalized Data'!$C$26:$C$36))</f>
        <v>0.44571428571428573</v>
      </c>
      <c r="D23" s="81">
        <f>(MAX('Normalized Data'!$D$26:$D$36)-'Normalized Data'!D28)/(MAX('Normalized Data'!$D$26:$D$36)-MIN('Normalized Data'!$D$26:$D$36))</f>
        <v>0.52054794520547953</v>
      </c>
      <c r="E23" s="81">
        <f>(MAX('Normalized Data'!$E$26:$E$36)-'Normalized Data'!E28)/(MAX('Normalized Data'!$E$26:$E$36)-MIN('Normalized Data'!$E$26:$E$36))</f>
        <v>0.99554234769687966</v>
      </c>
      <c r="F23" s="81">
        <v>1.7</v>
      </c>
      <c r="G23" s="81">
        <f>(MAX('Normalized Data'!$I$26:$I$36)-'Normalized Data'!I28)/(MAX('Normalized Data'!$I$26:$I$36)-MIN('Normalized Data'!$I$26:$I$36))</f>
        <v>1</v>
      </c>
      <c r="H23" s="81" cm="1">
        <f t="array" ref="H23">_xlfn.IFS('Normalized Data'!K28="AAA",10,'Normalized Data'!K28="AA",8,'Normalized Data'!K28="A",6)</f>
        <v>6</v>
      </c>
      <c r="I23" s="82">
        <f t="shared" si="1"/>
        <v>1.1791524510464746</v>
      </c>
      <c r="J23" s="83">
        <f>_xlfn.RANK.EQ(I23, I$21:I$31, 0) - COUNTIF(I$21:I23, I23) + 1</f>
        <v>10</v>
      </c>
    </row>
    <row r="24" spans="1:10" ht="20.100000000000001" customHeight="1" x14ac:dyDescent="0.25">
      <c r="A24" s="81" t="s">
        <v>12</v>
      </c>
      <c r="B24" s="81">
        <f>('Normalized Data'!B29-MIN('Normalized Data'!$B$26:$B$36))/(MAX('Normalized Data'!$B$26:$B$36)-MIN('Normalized Data'!$B$26:$B$36))</f>
        <v>0</v>
      </c>
      <c r="C24" s="81">
        <f>('Normalized Data'!C29-MIN('Normalized Data'!$C$26:$C$36))/(MAX('Normalized Data'!$C$26:$C$36)-MIN('Normalized Data'!$C$26:$C$36))</f>
        <v>0</v>
      </c>
      <c r="D24" s="81">
        <f>(MAX('Normalized Data'!$D$26:$D$36)-'Normalized Data'!D29)/(MAX('Normalized Data'!$D$26:$D$36)-MIN('Normalized Data'!$D$26:$D$36))</f>
        <v>0</v>
      </c>
      <c r="E24" s="81">
        <f>(MAX('Normalized Data'!$E$26:$E$36)-'Normalized Data'!E29)/(MAX('Normalized Data'!$E$26:$E$36)-MIN('Normalized Data'!$E$26:$E$36))</f>
        <v>0.99554234769687966</v>
      </c>
      <c r="F24" s="81">
        <v>0.6</v>
      </c>
      <c r="G24" s="81">
        <f>(MAX('Normalized Data'!$I$26:$I$36)-'Normalized Data'!I29)/(MAX('Normalized Data'!$I$26:$I$36)-MIN('Normalized Data'!$I$26:$I$36))</f>
        <v>0.97975242299203535</v>
      </c>
      <c r="H24" s="81" cm="1">
        <f t="array" ref="H24">_xlfn.IFS('Normalized Data'!K29="AAA",10,'Normalized Data'!K29="AA",8,'Normalized Data'!K29="A",6)</f>
        <v>8</v>
      </c>
      <c r="I24" s="82">
        <f t="shared" si="1"/>
        <v>1.0676186301149539</v>
      </c>
      <c r="J24" s="83">
        <f>_xlfn.RANK.EQ(I24, I$21:I$31, 0) - COUNTIF(I$21:I24, I24) + 1</f>
        <v>11</v>
      </c>
    </row>
    <row r="25" spans="1:10" ht="20.100000000000001" customHeight="1" x14ac:dyDescent="0.25">
      <c r="A25" s="81" t="s">
        <v>13</v>
      </c>
      <c r="B25" s="81">
        <f>('Normalized Data'!B30-MIN('Normalized Data'!$B$26:$B$36))/(MAX('Normalized Data'!$B$26:$B$36)-MIN('Normalized Data'!$B$26:$B$36))</f>
        <v>0.16518174901210023</v>
      </c>
      <c r="C25" s="81">
        <f>('Normalized Data'!C30-MIN('Normalized Data'!$C$26:$C$36))/(MAX('Normalized Data'!$C$26:$C$36)-MIN('Normalized Data'!$C$26:$C$36))</f>
        <v>8.2857142857142865E-2</v>
      </c>
      <c r="D25" s="81">
        <f>(MAX('Normalized Data'!$D$26:$D$36)-'Normalized Data'!D30)/(MAX('Normalized Data'!$D$26:$D$36)-MIN('Normalized Data'!$D$26:$D$36))</f>
        <v>1</v>
      </c>
      <c r="E25" s="81">
        <f>(MAX('Normalized Data'!$E$26:$E$36)-'Normalized Data'!E30)/(MAX('Normalized Data'!$E$26:$E$36)-MIN('Normalized Data'!$E$26:$E$36))</f>
        <v>0.99851411589895989</v>
      </c>
      <c r="F25" s="81">
        <v>0.96</v>
      </c>
      <c r="G25" s="81">
        <f>(MAX('Normalized Data'!$I$26:$I$36)-'Normalized Data'!I30)/(MAX('Normalized Data'!$I$26:$I$36)-MIN('Normalized Data'!$I$26:$I$36))</f>
        <v>0.27828423375875638</v>
      </c>
      <c r="H25" s="81" cm="1">
        <f t="array" ref="H25">_xlfn.IFS('Normalized Data'!K30="AAA",10,'Normalized Data'!K30="AA",8,'Normalized Data'!K30="A",6)</f>
        <v>10</v>
      </c>
      <c r="I25" s="82">
        <f t="shared" si="1"/>
        <v>1.4254335613293889</v>
      </c>
      <c r="J25" s="83">
        <f>_xlfn.RANK.EQ(I25, I$21:I$31, 0) - COUNTIF(I$21:I25, I25) + 1</f>
        <v>8</v>
      </c>
    </row>
    <row r="26" spans="1:10" ht="20.100000000000001" customHeight="1" x14ac:dyDescent="0.25">
      <c r="A26" s="81" t="s">
        <v>14</v>
      </c>
      <c r="B26" s="81">
        <f>('Normalized Data'!B31-MIN('Normalized Data'!$B$26:$B$36))/(MAX('Normalized Data'!$B$26:$B$36)-MIN('Normalized Data'!$B$26:$B$36))</f>
        <v>0.7686841911493999</v>
      </c>
      <c r="C26" s="81">
        <f>('Normalized Data'!C31-MIN('Normalized Data'!$C$26:$C$36))/(MAX('Normalized Data'!$C$26:$C$36)-MIN('Normalized Data'!$C$26:$C$36))</f>
        <v>0.74285714285714288</v>
      </c>
      <c r="D26" s="81">
        <f>(MAX('Normalized Data'!$D$26:$D$36)-'Normalized Data'!D31)/(MAX('Normalized Data'!$D$26:$D$36)-MIN('Normalized Data'!$D$26:$D$36))</f>
        <v>0.79589041095890412</v>
      </c>
      <c r="E26" s="81">
        <f>(MAX('Normalized Data'!$E$26:$E$36)-'Normalized Data'!E31)/(MAX('Normalized Data'!$E$26:$E$36)-MIN('Normalized Data'!$E$26:$E$36))</f>
        <v>0.99851411589895989</v>
      </c>
      <c r="F26" s="81">
        <v>3.12</v>
      </c>
      <c r="G26" s="81">
        <f>(MAX('Normalized Data'!$I$26:$I$36)-'Normalized Data'!I31)/(MAX('Normalized Data'!$I$26:$I$36)-MIN('Normalized Data'!$I$26:$I$36))</f>
        <v>0.57762210920257184</v>
      </c>
      <c r="H26" s="81" cm="1">
        <f t="array" ref="H26">_xlfn.IFS('Normalized Data'!K31="AAA",10,'Normalized Data'!K31="AA",8,'Normalized Data'!K31="A",6)</f>
        <v>10</v>
      </c>
      <c r="I26" s="82">
        <f t="shared" si="1"/>
        <v>2.0047498087231639</v>
      </c>
      <c r="J26" s="83">
        <f>_xlfn.RANK.EQ(I26, I$21:I$31, 0) - COUNTIF(I$21:I26, I26) + 1</f>
        <v>1</v>
      </c>
    </row>
    <row r="27" spans="1:10" ht="20.100000000000001" customHeight="1" x14ac:dyDescent="0.25">
      <c r="A27" s="84" t="s">
        <v>15</v>
      </c>
      <c r="B27" s="84">
        <f>('Normalized Data'!B32-MIN('Normalized Data'!$B$26:$B$36))/(MAX('Normalized Data'!$B$26:$B$36)-MIN('Normalized Data'!$B$26:$B$36))</f>
        <v>4.9640429030753747E-2</v>
      </c>
      <c r="C27" s="84">
        <f>('Normalized Data'!C32-MIN('Normalized Data'!$C$26:$C$36))/(MAX('Normalized Data'!$C$26:$C$36)-MIN('Normalized Data'!$C$26:$C$36))</f>
        <v>0.25714285714285712</v>
      </c>
      <c r="D27" s="84">
        <f>(MAX('Normalized Data'!$D$26:$D$36)-'Normalized Data'!D32)/(MAX('Normalized Data'!$D$26:$D$36)-MIN('Normalized Data'!$D$26:$D$36))</f>
        <v>0.52054794520547953</v>
      </c>
      <c r="E27" s="84">
        <f>(MAX('Normalized Data'!$E$26:$E$36)-'Normalized Data'!E32)/(MAX('Normalized Data'!$E$26:$E$36)-MIN('Normalized Data'!$E$26:$E$36))</f>
        <v>0.99257057949479943</v>
      </c>
      <c r="F27" s="84">
        <v>2.9</v>
      </c>
      <c r="G27" s="84">
        <f>(MAX('Normalized Data'!$I$26:$I$36)-'Normalized Data'!I32)/(MAX('Normalized Data'!$I$26:$I$36)-MIN('Normalized Data'!$I$26:$I$36))</f>
        <v>0.94868534689569151</v>
      </c>
      <c r="H27" s="84" cm="1">
        <f t="array" ref="H27">_xlfn.IFS('Normalized Data'!K32="AAA",10,'Normalized Data'!K32="AA",8,'Normalized Data'!K32="A",6)</f>
        <v>8</v>
      </c>
      <c r="I27" s="49">
        <f t="shared" si="1"/>
        <v>1.5227214703029277</v>
      </c>
      <c r="J27" s="48">
        <f>_xlfn.RANK.EQ(I27, I$21:I$31, 0) - COUNTIF(I$21:I27, I27) + 1</f>
        <v>5</v>
      </c>
    </row>
    <row r="28" spans="1:10" ht="20.100000000000001" customHeight="1" x14ac:dyDescent="0.25">
      <c r="A28" s="84" t="s">
        <v>16</v>
      </c>
      <c r="B28" s="84">
        <f>('Normalized Data'!B33-MIN('Normalized Data'!$B$26:$B$36))/(MAX('Normalized Data'!$B$26:$B$36)-MIN('Normalized Data'!$B$26:$B$36))</f>
        <v>0.74293743710576055</v>
      </c>
      <c r="C28" s="84">
        <f>('Normalized Data'!C33-MIN('Normalized Data'!$C$26:$C$36))/(MAX('Normalized Data'!$C$26:$C$36)-MIN('Normalized Data'!$C$26:$C$36))</f>
        <v>0.62857142857142856</v>
      </c>
      <c r="D28" s="84">
        <f>(MAX('Normalized Data'!$D$26:$D$36)-'Normalized Data'!D33)/(MAX('Normalized Data'!$D$26:$D$36)-MIN('Normalized Data'!$D$26:$D$36))</f>
        <v>0.65890410958904111</v>
      </c>
      <c r="E28" s="84">
        <f>(MAX('Normalized Data'!$E$26:$E$36)-'Normalized Data'!E33)/(MAX('Normalized Data'!$E$26:$E$36)-MIN('Normalized Data'!$E$26:$E$36))</f>
        <v>0.99257057949479943</v>
      </c>
      <c r="F28" s="84">
        <v>1.5</v>
      </c>
      <c r="G28" s="84">
        <f>(MAX('Normalized Data'!$I$26:$I$36)-'Normalized Data'!I33)/(MAX('Normalized Data'!$I$26:$I$36)-MIN('Normalized Data'!$I$26:$I$36))</f>
        <v>0.85875875635735544</v>
      </c>
      <c r="H28" s="84" cm="1">
        <f t="array" ref="H28">_xlfn.IFS('Normalized Data'!K33="AAA",10,'Normalized Data'!K33="AA",8,'Normalized Data'!K33="A",6)</f>
        <v>10</v>
      </c>
      <c r="I28" s="49">
        <f t="shared" si="1"/>
        <v>1.7493700887081589</v>
      </c>
      <c r="J28" s="48">
        <f>_xlfn.RANK.EQ(I28, I$21:I$31, 0) - COUNTIF(I$21:I28, I28) + 1</f>
        <v>2</v>
      </c>
    </row>
    <row r="29" spans="1:10" ht="20.100000000000001" customHeight="1" x14ac:dyDescent="0.25">
      <c r="A29" s="84" t="s">
        <v>17</v>
      </c>
      <c r="B29" s="84">
        <f>('Normalized Data'!B34-MIN('Normalized Data'!$B$26:$B$36))/(MAX('Normalized Data'!$B$26:$B$36)-MIN('Normalized Data'!$B$26:$B$36))</f>
        <v>0.21672434528630685</v>
      </c>
      <c r="C29" s="84">
        <f>('Normalized Data'!C34-MIN('Normalized Data'!$C$26:$C$36))/(MAX('Normalized Data'!$C$26:$C$36)-MIN('Normalized Data'!$C$26:$C$36))</f>
        <v>0.42857142857142855</v>
      </c>
      <c r="D29" s="84">
        <f>(MAX('Normalized Data'!$D$26:$D$36)-'Normalized Data'!D34)/(MAX('Normalized Data'!$D$26:$D$36)-MIN('Normalized Data'!$D$26:$D$36))</f>
        <v>0.5547945205479452</v>
      </c>
      <c r="E29" s="84">
        <f>(MAX('Normalized Data'!$E$26:$E$36)-'Normalized Data'!E34)/(MAX('Normalized Data'!$E$26:$E$36)-MIN('Normalized Data'!$E$26:$E$36))</f>
        <v>1</v>
      </c>
      <c r="F29" s="84">
        <v>2.2999999999999998</v>
      </c>
      <c r="G29" s="84">
        <f>(MAX('Normalized Data'!$I$26:$I$36)-'Normalized Data'!I34)/(MAX('Normalized Data'!$I$26:$I$36)-MIN('Normalized Data'!$I$26:$I$36))</f>
        <v>0.95765761443239628</v>
      </c>
      <c r="H29" s="84" cm="1">
        <f t="array" ref="H29">_xlfn.IFS('Normalized Data'!K34="AAA",10,'Normalized Data'!K34="AA",8,'Normalized Data'!K34="A",6)</f>
        <v>8</v>
      </c>
      <c r="I29" s="49">
        <f t="shared" si="1"/>
        <v>1.505807904516284</v>
      </c>
      <c r="J29" s="48">
        <f>_xlfn.RANK.EQ(I29, I$21:I$31, 0) - COUNTIF(I$21:I29, I29) + 1</f>
        <v>6</v>
      </c>
    </row>
    <row r="30" spans="1:10" ht="20.100000000000001" customHeight="1" x14ac:dyDescent="0.25">
      <c r="A30" s="84" t="s">
        <v>18</v>
      </c>
      <c r="B30" s="84">
        <f>('Normalized Data'!B35-MIN('Normalized Data'!$B$26:$B$36))/(MAX('Normalized Data'!$B$26:$B$36)-MIN('Normalized Data'!$B$26:$B$36))</f>
        <v>0.54902682669415603</v>
      </c>
      <c r="C30" s="84">
        <f>('Normalized Data'!C35-MIN('Normalized Data'!$C$26:$C$36))/(MAX('Normalized Data'!$C$26:$C$36)-MIN('Normalized Data'!$C$26:$C$36))</f>
        <v>0.28514285714285714</v>
      </c>
      <c r="D30" s="84">
        <f>(MAX('Normalized Data'!$D$26:$D$36)-'Normalized Data'!D35)/(MAX('Normalized Data'!$D$26:$D$36)-MIN('Normalized Data'!$D$26:$D$36))</f>
        <v>0.76027397260273977</v>
      </c>
      <c r="E30" s="84">
        <f>(MAX('Normalized Data'!$E$26:$E$36)-'Normalized Data'!E35)/(MAX('Normalized Data'!$E$26:$E$36)-MIN('Normalized Data'!$E$26:$E$36))</f>
        <v>0.99554234769687966</v>
      </c>
      <c r="F30" s="84">
        <v>2.98</v>
      </c>
      <c r="G30" s="84">
        <f>(MAX('Normalized Data'!$I$26:$I$36)-'Normalized Data'!I35)/(MAX('Normalized Data'!$I$26:$I$36)-MIN('Normalized Data'!$I$26:$I$36))</f>
        <v>0.71185586795892919</v>
      </c>
      <c r="H30" s="84" cm="1">
        <f t="array" ref="H30">_xlfn.IFS('Normalized Data'!K35="AAA",10,'Normalized Data'!K35="AA",8,'Normalized Data'!K35="A",6)</f>
        <v>8</v>
      </c>
      <c r="I30" s="49">
        <f t="shared" si="1"/>
        <v>1.6690899865689397</v>
      </c>
      <c r="J30" s="48">
        <f>_xlfn.RANK.EQ(I30, I$21:I$31, 0) - COUNTIF(I$21:I30, I30) + 1</f>
        <v>3</v>
      </c>
    </row>
    <row r="31" spans="1:10" ht="20.100000000000001" customHeight="1" x14ac:dyDescent="0.25">
      <c r="A31" s="85" t="s">
        <v>19</v>
      </c>
      <c r="B31" s="85">
        <f>('Normalized Data'!B36-MIN('Normalized Data'!$B$26:$B$36))/(MAX('Normalized Data'!$B$26:$B$36)-MIN('Normalized Data'!$B$26:$B$36))</f>
        <v>1</v>
      </c>
      <c r="C31" s="85">
        <f>('Normalized Data'!C36-MIN('Normalized Data'!$C$26:$C$36))/(MAX('Normalized Data'!$C$26:$C$36)-MIN('Normalized Data'!$C$26:$C$36))</f>
        <v>0.42857142857142855</v>
      </c>
      <c r="D31" s="85">
        <f>(MAX('Normalized Data'!$D$26:$D$36)-'Normalized Data'!D36)/(MAX('Normalized Data'!$D$26:$D$36)-MIN('Normalized Data'!$D$26:$D$36))</f>
        <v>0.79452054794520555</v>
      </c>
      <c r="E31" s="85">
        <f>(MAX('Normalized Data'!$E$26:$E$36)-'Normalized Data'!E36)/(MAX('Normalized Data'!$E$26:$E$36)-MIN('Normalized Data'!$E$26:$E$36))</f>
        <v>0</v>
      </c>
      <c r="F31" s="85">
        <v>1.1200000000000001</v>
      </c>
      <c r="G31" s="85">
        <f>(MAX('Normalized Data'!$I$26:$I$36)-'Normalized Data'!I36)/(MAX('Normalized Data'!$I$26:$I$36)-MIN('Normalized Data'!$I$26:$I$36))</f>
        <v>0</v>
      </c>
      <c r="H31" s="85" cm="1">
        <f t="array" ref="H31">_xlfn.IFS('Normalized Data'!K36="AAA",10,'Normalized Data'!K36="AA",8,'Normalized Data'!K36="A",6)</f>
        <v>10</v>
      </c>
      <c r="I31" s="45">
        <f t="shared" si="1"/>
        <v>1.577628180039139</v>
      </c>
      <c r="J31" s="44">
        <f>_xlfn.RANK.EQ(I31, I$21:I$31, 0) - COUNTIF(I$21:I31, I31) + 1</f>
        <v>4</v>
      </c>
    </row>
  </sheetData>
  <mergeCells count="2">
    <mergeCell ref="C16:G16"/>
    <mergeCell ref="A19:J19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F30D6-3CBD-4FB9-B1E2-85102722D026}">
  <sheetPr>
    <tabColor rgb="FFFF0000"/>
  </sheetPr>
  <dimension ref="A1:F21"/>
  <sheetViews>
    <sheetView showGridLines="0" workbookViewId="0">
      <selection activeCell="D28" sqref="D28"/>
    </sheetView>
  </sheetViews>
  <sheetFormatPr defaultRowHeight="15" x14ac:dyDescent="0.25"/>
  <cols>
    <col min="1" max="1" width="10" style="7" customWidth="1"/>
    <col min="2" max="2" width="26" style="7" customWidth="1"/>
    <col min="3" max="3" width="26.42578125" style="7" customWidth="1"/>
    <col min="4" max="5" width="21.7109375" style="7" customWidth="1"/>
    <col min="6" max="6" width="16.42578125" style="7" customWidth="1"/>
    <col min="7" max="16384" width="9.140625" style="7"/>
  </cols>
  <sheetData>
    <row r="1" spans="1:6" ht="24" customHeight="1" x14ac:dyDescent="0.3">
      <c r="A1" s="60" t="s">
        <v>33</v>
      </c>
      <c r="B1" s="60"/>
      <c r="C1" s="60"/>
      <c r="D1" s="60"/>
      <c r="E1" s="60"/>
      <c r="F1" s="60"/>
    </row>
    <row r="2" spans="1:6" ht="36.75" customHeight="1" x14ac:dyDescent="0.25">
      <c r="A2" s="61" t="s">
        <v>20</v>
      </c>
      <c r="B2" s="62" t="s">
        <v>21</v>
      </c>
      <c r="C2" s="62" t="s">
        <v>22</v>
      </c>
      <c r="D2" s="62" t="s">
        <v>28</v>
      </c>
      <c r="E2" s="62" t="s">
        <v>29</v>
      </c>
      <c r="F2" s="63" t="s">
        <v>30</v>
      </c>
    </row>
    <row r="3" spans="1:6" ht="15.75" x14ac:dyDescent="0.25">
      <c r="A3" s="53" t="s">
        <v>23</v>
      </c>
      <c r="B3" s="54">
        <v>3436</v>
      </c>
      <c r="C3" s="54">
        <v>7050</v>
      </c>
      <c r="D3" s="55" t="s">
        <v>27</v>
      </c>
      <c r="E3" s="51">
        <f>((C3-B6)/B6)</f>
        <v>0.1065766755611364</v>
      </c>
      <c r="F3" s="56"/>
    </row>
    <row r="4" spans="1:6" ht="15.75" x14ac:dyDescent="0.25">
      <c r="A4" s="53" t="s">
        <v>24</v>
      </c>
      <c r="B4" s="54">
        <v>3110</v>
      </c>
      <c r="C4" s="54">
        <v>7807</v>
      </c>
      <c r="D4" s="52">
        <f>((B4 - B3) / B3)</f>
        <v>-9.4877764842840509E-2</v>
      </c>
      <c r="E4" s="52">
        <f>(C4-C3)/C3</f>
        <v>0.10737588652482269</v>
      </c>
      <c r="F4" s="56"/>
    </row>
    <row r="5" spans="1:6" ht="18.75" x14ac:dyDescent="0.25">
      <c r="A5" s="53" t="s">
        <v>25</v>
      </c>
      <c r="B5" s="54">
        <v>3369</v>
      </c>
      <c r="C5" s="54">
        <v>8731</v>
      </c>
      <c r="D5" s="52">
        <f t="shared" ref="D5:D6" si="0">((B5 - B4) / B4)</f>
        <v>8.3279742765273307E-2</v>
      </c>
      <c r="E5" s="52">
        <f t="shared" ref="E5:E6" si="1">(C5-C4)/C4</f>
        <v>0.11835532214679134</v>
      </c>
      <c r="F5" s="57">
        <f>(C7-B7)/B7</f>
        <v>1.0432273118015474</v>
      </c>
    </row>
    <row r="6" spans="1:6" ht="15.75" x14ac:dyDescent="0.25">
      <c r="A6" s="53" t="s">
        <v>26</v>
      </c>
      <c r="B6" s="54">
        <v>6371</v>
      </c>
      <c r="C6" s="54">
        <v>9688</v>
      </c>
      <c r="D6" s="52">
        <f t="shared" si="0"/>
        <v>0.89106559810032648</v>
      </c>
      <c r="E6" s="52">
        <f t="shared" si="1"/>
        <v>0.10960943763600962</v>
      </c>
      <c r="F6" s="56"/>
    </row>
    <row r="7" spans="1:6" ht="15.75" x14ac:dyDescent="0.25">
      <c r="A7" s="53" t="s">
        <v>31</v>
      </c>
      <c r="B7" s="58">
        <f>SUM(B3:B6)</f>
        <v>16286</v>
      </c>
      <c r="C7" s="58">
        <f>SUM(C3:C6)</f>
        <v>33276</v>
      </c>
      <c r="D7" s="59" t="s">
        <v>27</v>
      </c>
      <c r="E7" s="59" t="s">
        <v>27</v>
      </c>
      <c r="F7" s="56"/>
    </row>
    <row r="13" spans="1:6" ht="22.5" x14ac:dyDescent="0.3">
      <c r="B13" s="60" t="s">
        <v>11</v>
      </c>
      <c r="C13" s="60"/>
      <c r="D13" s="60"/>
    </row>
    <row r="14" spans="1:6" ht="31.5" x14ac:dyDescent="0.25">
      <c r="B14" s="64" t="s">
        <v>21</v>
      </c>
      <c r="C14" s="64" t="s">
        <v>22</v>
      </c>
      <c r="D14" s="64" t="s">
        <v>30</v>
      </c>
    </row>
    <row r="15" spans="1:6" ht="15.75" x14ac:dyDescent="0.25">
      <c r="B15" s="58">
        <v>7236</v>
      </c>
      <c r="C15" s="58">
        <v>9298</v>
      </c>
      <c r="D15" s="65">
        <f>(C15-B15)/B15</f>
        <v>0.28496406854615808</v>
      </c>
    </row>
    <row r="19" spans="2:4" ht="22.5" x14ac:dyDescent="0.3">
      <c r="B19" s="60" t="s">
        <v>37</v>
      </c>
      <c r="C19" s="60"/>
      <c r="D19" s="60"/>
    </row>
    <row r="20" spans="2:4" ht="31.5" x14ac:dyDescent="0.25">
      <c r="B20" s="64" t="s">
        <v>21</v>
      </c>
      <c r="C20" s="64" t="s">
        <v>22</v>
      </c>
      <c r="D20" s="64" t="s">
        <v>30</v>
      </c>
    </row>
    <row r="21" spans="2:4" ht="15.75" x14ac:dyDescent="0.25">
      <c r="B21" s="58">
        <v>4533</v>
      </c>
      <c r="C21" s="66">
        <v>6699.84</v>
      </c>
      <c r="D21" s="65">
        <f>(C21-B21)/B21</f>
        <v>0.4780145598941099</v>
      </c>
    </row>
  </sheetData>
  <mergeCells count="3">
    <mergeCell ref="A1:F1"/>
    <mergeCell ref="B13:D13"/>
    <mergeCell ref="B19:D1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Final_Partner_Rank</vt:lpstr>
      <vt:lpstr>Visuals</vt:lpstr>
      <vt:lpstr>Normalized Data</vt:lpstr>
      <vt:lpstr>Data</vt:lpstr>
      <vt:lpstr>QoQ%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Anithasri sri</dc:creator>
  <cp:lastModifiedBy>Anithasri sri</cp:lastModifiedBy>
  <dcterms:created xsi:type="dcterms:W3CDTF">2025-03-16T15:56:54Z</dcterms:created>
  <dcterms:modified xsi:type="dcterms:W3CDTF">2025-03-18T19:54:21Z</dcterms:modified>
</cp:coreProperties>
</file>